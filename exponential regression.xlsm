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imra\Documents\regression\"/>
    </mc:Choice>
  </mc:AlternateContent>
  <bookViews>
    <workbookView xWindow="0" yWindow="0" windowWidth="23040" windowHeight="9084"/>
  </bookViews>
  <sheets>
    <sheet name="exponential regression" sheetId="1" r:id="rId1"/>
  </sheets>
  <definedNames>
    <definedName name="solver_adj" localSheetId="0" hidden="1">'exponential regression'!$H$3:$H$4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'exponential regression'!$F$2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2" i="1"/>
  <c r="H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2" i="1"/>
  <c r="F2" i="1" l="1"/>
</calcChain>
</file>

<file path=xl/sharedStrings.xml><?xml version="1.0" encoding="utf-8"?>
<sst xmlns="http://schemas.openxmlformats.org/spreadsheetml/2006/main" count="10" uniqueCount="10">
  <si>
    <t>Month</t>
  </si>
  <si>
    <t>Sales</t>
  </si>
  <si>
    <t>log(Sales)</t>
  </si>
  <si>
    <t>Y=alpha*exp(beta*X)</t>
  </si>
  <si>
    <t>beta</t>
  </si>
  <si>
    <t>alpha</t>
  </si>
  <si>
    <t>SSE</t>
  </si>
  <si>
    <t>Intercept</t>
  </si>
  <si>
    <t>Linear Estimate</t>
  </si>
  <si>
    <t>Exponential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</si>
</sst>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10" xfId="0" applyBorder="1"/>
    <xf numFmtId="0" fontId="0" fillId="0" borderId="10" xfId="0" applyFill="1" applyBorder="1"/>
    <xf numFmtId="0" fontId="16" fillId="0" borderId="10" xfId="0" applyFont="1" applyFill="1" applyBorder="1"/>
    <xf numFmtId="0" fontId="16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'exponential regression'!$B$1</c:f>
              <c:strCache>
                <c:ptCount val="1"/>
                <c:pt idx="0">
                  <c:v>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6.0588644684576712E-2"/>
                  <c:y val="-0.2534523348515861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500" baseline="0"/>
                      <a:t>y = 27.316e</a:t>
                    </a:r>
                    <a:r>
                      <a:rPr lang="en-US" sz="1500" baseline="30000"/>
                      <a:t>0.0485x</a:t>
                    </a:r>
                    <a:br>
                      <a:rPr lang="en-US" sz="1500" baseline="0"/>
                    </a:br>
                    <a:r>
                      <a:rPr lang="en-US" sz="1500" baseline="0"/>
                      <a:t>R² = 0.9874</a:t>
                    </a:r>
                    <a:endParaRPr lang="en-US" sz="15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'exponential regression'!$A$2:$A$121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'exponential regression'!$B$2:$B$121</c:f>
              <c:numCache>
                <c:formatCode>General</c:formatCode>
                <c:ptCount val="120"/>
                <c:pt idx="0">
                  <c:v>32</c:v>
                </c:pt>
                <c:pt idx="1">
                  <c:v>38</c:v>
                </c:pt>
                <c:pt idx="2">
                  <c:v>30</c:v>
                </c:pt>
                <c:pt idx="3">
                  <c:v>30</c:v>
                </c:pt>
                <c:pt idx="4">
                  <c:v>42</c:v>
                </c:pt>
                <c:pt idx="5">
                  <c:v>39</c:v>
                </c:pt>
                <c:pt idx="6">
                  <c:v>43</c:v>
                </c:pt>
                <c:pt idx="7">
                  <c:v>51</c:v>
                </c:pt>
                <c:pt idx="8">
                  <c:v>37</c:v>
                </c:pt>
                <c:pt idx="9">
                  <c:v>32</c:v>
                </c:pt>
                <c:pt idx="10">
                  <c:v>36</c:v>
                </c:pt>
                <c:pt idx="11">
                  <c:v>45</c:v>
                </c:pt>
                <c:pt idx="12">
                  <c:v>58</c:v>
                </c:pt>
                <c:pt idx="13">
                  <c:v>50</c:v>
                </c:pt>
                <c:pt idx="14">
                  <c:v>40</c:v>
                </c:pt>
                <c:pt idx="15">
                  <c:v>55</c:v>
                </c:pt>
                <c:pt idx="16">
                  <c:v>45</c:v>
                </c:pt>
                <c:pt idx="17">
                  <c:v>59</c:v>
                </c:pt>
                <c:pt idx="18">
                  <c:v>71</c:v>
                </c:pt>
                <c:pt idx="19">
                  <c:v>61</c:v>
                </c:pt>
                <c:pt idx="20">
                  <c:v>58</c:v>
                </c:pt>
                <c:pt idx="21">
                  <c:v>80</c:v>
                </c:pt>
                <c:pt idx="22">
                  <c:v>89</c:v>
                </c:pt>
                <c:pt idx="23">
                  <c:v>78</c:v>
                </c:pt>
                <c:pt idx="24">
                  <c:v>96</c:v>
                </c:pt>
                <c:pt idx="25">
                  <c:v>106</c:v>
                </c:pt>
                <c:pt idx="26">
                  <c:v>97</c:v>
                </c:pt>
                <c:pt idx="27">
                  <c:v>114</c:v>
                </c:pt>
                <c:pt idx="28">
                  <c:v>108</c:v>
                </c:pt>
                <c:pt idx="29">
                  <c:v>107</c:v>
                </c:pt>
                <c:pt idx="30">
                  <c:v>120</c:v>
                </c:pt>
                <c:pt idx="31">
                  <c:v>101</c:v>
                </c:pt>
                <c:pt idx="32">
                  <c:v>145</c:v>
                </c:pt>
                <c:pt idx="33">
                  <c:v>149</c:v>
                </c:pt>
                <c:pt idx="34">
                  <c:v>187</c:v>
                </c:pt>
                <c:pt idx="35">
                  <c:v>190</c:v>
                </c:pt>
                <c:pt idx="36">
                  <c:v>212</c:v>
                </c:pt>
                <c:pt idx="37">
                  <c:v>212</c:v>
                </c:pt>
                <c:pt idx="38">
                  <c:v>196</c:v>
                </c:pt>
                <c:pt idx="39">
                  <c:v>157</c:v>
                </c:pt>
                <c:pt idx="40">
                  <c:v>198</c:v>
                </c:pt>
                <c:pt idx="41">
                  <c:v>189</c:v>
                </c:pt>
                <c:pt idx="42">
                  <c:v>326</c:v>
                </c:pt>
                <c:pt idx="43">
                  <c:v>252</c:v>
                </c:pt>
                <c:pt idx="44">
                  <c:v>291</c:v>
                </c:pt>
                <c:pt idx="45">
                  <c:v>231</c:v>
                </c:pt>
                <c:pt idx="46">
                  <c:v>248</c:v>
                </c:pt>
                <c:pt idx="47">
                  <c:v>379</c:v>
                </c:pt>
                <c:pt idx="48">
                  <c:v>394</c:v>
                </c:pt>
                <c:pt idx="49">
                  <c:v>204</c:v>
                </c:pt>
                <c:pt idx="50">
                  <c:v>287</c:v>
                </c:pt>
                <c:pt idx="51">
                  <c:v>534</c:v>
                </c:pt>
                <c:pt idx="52">
                  <c:v>370</c:v>
                </c:pt>
                <c:pt idx="53">
                  <c:v>380</c:v>
                </c:pt>
                <c:pt idx="54">
                  <c:v>297</c:v>
                </c:pt>
                <c:pt idx="55">
                  <c:v>407</c:v>
                </c:pt>
                <c:pt idx="56">
                  <c:v>455</c:v>
                </c:pt>
                <c:pt idx="57">
                  <c:v>508</c:v>
                </c:pt>
                <c:pt idx="58">
                  <c:v>498</c:v>
                </c:pt>
                <c:pt idx="59">
                  <c:v>362</c:v>
                </c:pt>
                <c:pt idx="60">
                  <c:v>530</c:v>
                </c:pt>
                <c:pt idx="61">
                  <c:v>682</c:v>
                </c:pt>
                <c:pt idx="62">
                  <c:v>601</c:v>
                </c:pt>
                <c:pt idx="63">
                  <c:v>545</c:v>
                </c:pt>
                <c:pt idx="64">
                  <c:v>558</c:v>
                </c:pt>
                <c:pt idx="65">
                  <c:v>766</c:v>
                </c:pt>
                <c:pt idx="66">
                  <c:v>570</c:v>
                </c:pt>
                <c:pt idx="67">
                  <c:v>821</c:v>
                </c:pt>
                <c:pt idx="68">
                  <c:v>618</c:v>
                </c:pt>
                <c:pt idx="69">
                  <c:v>595</c:v>
                </c:pt>
                <c:pt idx="70">
                  <c:v>911</c:v>
                </c:pt>
                <c:pt idx="71">
                  <c:v>798</c:v>
                </c:pt>
                <c:pt idx="72">
                  <c:v>1034</c:v>
                </c:pt>
                <c:pt idx="73">
                  <c:v>1201</c:v>
                </c:pt>
                <c:pt idx="74">
                  <c:v>1215</c:v>
                </c:pt>
                <c:pt idx="75">
                  <c:v>1896</c:v>
                </c:pt>
                <c:pt idx="76">
                  <c:v>1393</c:v>
                </c:pt>
                <c:pt idx="77">
                  <c:v>1541</c:v>
                </c:pt>
                <c:pt idx="78">
                  <c:v>1202</c:v>
                </c:pt>
                <c:pt idx="79">
                  <c:v>1116</c:v>
                </c:pt>
                <c:pt idx="80">
                  <c:v>1107</c:v>
                </c:pt>
                <c:pt idx="81">
                  <c:v>1208</c:v>
                </c:pt>
                <c:pt idx="82">
                  <c:v>1497</c:v>
                </c:pt>
                <c:pt idx="83">
                  <c:v>1798</c:v>
                </c:pt>
                <c:pt idx="84">
                  <c:v>1826</c:v>
                </c:pt>
                <c:pt idx="85">
                  <c:v>1980</c:v>
                </c:pt>
                <c:pt idx="86">
                  <c:v>1820</c:v>
                </c:pt>
                <c:pt idx="87">
                  <c:v>1975</c:v>
                </c:pt>
                <c:pt idx="88">
                  <c:v>1800</c:v>
                </c:pt>
                <c:pt idx="89">
                  <c:v>2778</c:v>
                </c:pt>
                <c:pt idx="90">
                  <c:v>2553</c:v>
                </c:pt>
                <c:pt idx="91">
                  <c:v>2467</c:v>
                </c:pt>
                <c:pt idx="92">
                  <c:v>3761</c:v>
                </c:pt>
                <c:pt idx="93">
                  <c:v>2723</c:v>
                </c:pt>
                <c:pt idx="94">
                  <c:v>3387</c:v>
                </c:pt>
                <c:pt idx="95">
                  <c:v>2674</c:v>
                </c:pt>
                <c:pt idx="96">
                  <c:v>2824</c:v>
                </c:pt>
                <c:pt idx="97">
                  <c:v>2599</c:v>
                </c:pt>
                <c:pt idx="98">
                  <c:v>3194</c:v>
                </c:pt>
                <c:pt idx="99">
                  <c:v>3366</c:v>
                </c:pt>
                <c:pt idx="100">
                  <c:v>4527</c:v>
                </c:pt>
                <c:pt idx="101">
                  <c:v>3687</c:v>
                </c:pt>
                <c:pt idx="102">
                  <c:v>3802</c:v>
                </c:pt>
                <c:pt idx="103">
                  <c:v>5047</c:v>
                </c:pt>
                <c:pt idx="104">
                  <c:v>3403</c:v>
                </c:pt>
                <c:pt idx="105">
                  <c:v>4362</c:v>
                </c:pt>
                <c:pt idx="106">
                  <c:v>5631</c:v>
                </c:pt>
                <c:pt idx="107">
                  <c:v>3431</c:v>
                </c:pt>
                <c:pt idx="108">
                  <c:v>4268</c:v>
                </c:pt>
                <c:pt idx="109">
                  <c:v>4874</c:v>
                </c:pt>
                <c:pt idx="110">
                  <c:v>6156</c:v>
                </c:pt>
                <c:pt idx="111">
                  <c:v>4477</c:v>
                </c:pt>
                <c:pt idx="112">
                  <c:v>9490</c:v>
                </c:pt>
                <c:pt idx="113">
                  <c:v>5758</c:v>
                </c:pt>
                <c:pt idx="114">
                  <c:v>5447</c:v>
                </c:pt>
                <c:pt idx="115">
                  <c:v>7286</c:v>
                </c:pt>
                <c:pt idx="116">
                  <c:v>8587</c:v>
                </c:pt>
                <c:pt idx="117">
                  <c:v>10085</c:v>
                </c:pt>
                <c:pt idx="118">
                  <c:v>10775</c:v>
                </c:pt>
                <c:pt idx="119">
                  <c:v>7275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AD-497A-B491-9914B6903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906720"/>
        <c:axId val="529907376"/>
      </c:scatterChart>
      <c:valAx>
        <c:axId val="52990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907376"/>
        <c:crosses val="autoZero"/>
        <c:crossBetween val="midCat"/>
      </c:valAx>
      <c:valAx>
        <c:axId val="52990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90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'exponential regression'!$D$1</c:f>
              <c:strCache>
                <c:ptCount val="1"/>
                <c:pt idx="0">
                  <c:v>log(Sales)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'exponential regression'!$D$2:$D$121</c:f>
              <c:numCache>
                <c:formatCode>General</c:formatCode>
                <c:ptCount val="120"/>
                <c:pt idx="0">
                  <c:v>3.4657359027997265</c:v>
                </c:pt>
                <c:pt idx="1">
                  <c:v>3.6375861597263857</c:v>
                </c:pt>
                <c:pt idx="2">
                  <c:v>3.4011973816621555</c:v>
                </c:pt>
                <c:pt idx="3">
                  <c:v>3.4011973816621555</c:v>
                </c:pt>
                <c:pt idx="4">
                  <c:v>3.7376696182833684</c:v>
                </c:pt>
                <c:pt idx="5">
                  <c:v>3.6635616461296463</c:v>
                </c:pt>
                <c:pt idx="6">
                  <c:v>3.7612001156935624</c:v>
                </c:pt>
                <c:pt idx="7">
                  <c:v>3.9318256327243257</c:v>
                </c:pt>
                <c:pt idx="8">
                  <c:v>3.6109179126442243</c:v>
                </c:pt>
                <c:pt idx="9">
                  <c:v>3.4657359027997265</c:v>
                </c:pt>
                <c:pt idx="10">
                  <c:v>3.5835189384561099</c:v>
                </c:pt>
                <c:pt idx="11">
                  <c:v>3.8066624897703196</c:v>
                </c:pt>
                <c:pt idx="12">
                  <c:v>4.0604430105464191</c:v>
                </c:pt>
                <c:pt idx="13">
                  <c:v>3.912023005428146</c:v>
                </c:pt>
                <c:pt idx="14">
                  <c:v>3.6888794541139363</c:v>
                </c:pt>
                <c:pt idx="15">
                  <c:v>4.0073331852324712</c:v>
                </c:pt>
                <c:pt idx="16">
                  <c:v>3.8066624897703196</c:v>
                </c:pt>
                <c:pt idx="17">
                  <c:v>4.0775374439057197</c:v>
                </c:pt>
                <c:pt idx="18">
                  <c:v>4.2626798770413155</c:v>
                </c:pt>
                <c:pt idx="19">
                  <c:v>4.1108738641733114</c:v>
                </c:pt>
                <c:pt idx="20">
                  <c:v>4.0604430105464191</c:v>
                </c:pt>
                <c:pt idx="21">
                  <c:v>4.3820266346738812</c:v>
                </c:pt>
                <c:pt idx="22">
                  <c:v>4.4886363697321396</c:v>
                </c:pt>
                <c:pt idx="23">
                  <c:v>4.3567088266895917</c:v>
                </c:pt>
                <c:pt idx="24">
                  <c:v>4.5643481914678361</c:v>
                </c:pt>
                <c:pt idx="25">
                  <c:v>4.6634390941120669</c:v>
                </c:pt>
                <c:pt idx="26">
                  <c:v>4.5747109785033828</c:v>
                </c:pt>
                <c:pt idx="27">
                  <c:v>4.7361984483944957</c:v>
                </c:pt>
                <c:pt idx="28">
                  <c:v>4.6821312271242199</c:v>
                </c:pt>
                <c:pt idx="29">
                  <c:v>4.6728288344619058</c:v>
                </c:pt>
                <c:pt idx="30">
                  <c:v>4.7874917427820458</c:v>
                </c:pt>
                <c:pt idx="31">
                  <c:v>4.6151205168412597</c:v>
                </c:pt>
                <c:pt idx="32">
                  <c:v>4.9767337424205742</c:v>
                </c:pt>
                <c:pt idx="33">
                  <c:v>5.0039463059454592</c:v>
                </c:pt>
                <c:pt idx="34">
                  <c:v>5.2311086168545868</c:v>
                </c:pt>
                <c:pt idx="35">
                  <c:v>5.2470240721604862</c:v>
                </c:pt>
                <c:pt idx="36">
                  <c:v>5.3565862746720123</c:v>
                </c:pt>
                <c:pt idx="37">
                  <c:v>5.3565862746720123</c:v>
                </c:pt>
                <c:pt idx="38">
                  <c:v>5.2781146592305168</c:v>
                </c:pt>
                <c:pt idx="39">
                  <c:v>5.0562458053483077</c:v>
                </c:pt>
                <c:pt idx="40">
                  <c:v>5.2882670306945352</c:v>
                </c:pt>
                <c:pt idx="41">
                  <c:v>5.2417470150596426</c:v>
                </c:pt>
                <c:pt idx="42">
                  <c:v>5.7868973813667077</c:v>
                </c:pt>
                <c:pt idx="43">
                  <c:v>5.5294290875114234</c:v>
                </c:pt>
                <c:pt idx="44">
                  <c:v>5.6733232671714928</c:v>
                </c:pt>
                <c:pt idx="45">
                  <c:v>5.4424177105217932</c:v>
                </c:pt>
                <c:pt idx="46">
                  <c:v>5.5134287461649825</c:v>
                </c:pt>
                <c:pt idx="47">
                  <c:v>5.9375362050824263</c:v>
                </c:pt>
                <c:pt idx="48">
                  <c:v>5.9763509092979339</c:v>
                </c:pt>
                <c:pt idx="49">
                  <c:v>5.3181199938442161</c:v>
                </c:pt>
                <c:pt idx="50">
                  <c:v>5.6594822157596214</c:v>
                </c:pt>
                <c:pt idx="51">
                  <c:v>6.280395838960195</c:v>
                </c:pt>
                <c:pt idx="52">
                  <c:v>5.9135030056382698</c:v>
                </c:pt>
                <c:pt idx="53">
                  <c:v>5.9401712527204316</c:v>
                </c:pt>
                <c:pt idx="54">
                  <c:v>5.6937321388026998</c:v>
                </c:pt>
                <c:pt idx="55">
                  <c:v>6.0088131854425946</c:v>
                </c:pt>
                <c:pt idx="56">
                  <c:v>6.1202974189509503</c:v>
                </c:pt>
                <c:pt idx="57">
                  <c:v>6.230481447578482</c:v>
                </c:pt>
                <c:pt idx="58">
                  <c:v>6.2106000770246528</c:v>
                </c:pt>
                <c:pt idx="59">
                  <c:v>5.8916442118257715</c:v>
                </c:pt>
                <c:pt idx="60">
                  <c:v>6.2728770065461674</c:v>
                </c:pt>
                <c:pt idx="61">
                  <c:v>6.5250296578434623</c:v>
                </c:pt>
                <c:pt idx="62">
                  <c:v>6.3985949345352076</c:v>
                </c:pt>
                <c:pt idx="63">
                  <c:v>6.300785794663244</c:v>
                </c:pt>
                <c:pt idx="64">
                  <c:v>6.3243589623813108</c:v>
                </c:pt>
                <c:pt idx="65">
                  <c:v>6.6411821697405911</c:v>
                </c:pt>
                <c:pt idx="66">
                  <c:v>6.3456363608285962</c:v>
                </c:pt>
                <c:pt idx="67">
                  <c:v>6.7105231094524278</c:v>
                </c:pt>
                <c:pt idx="68">
                  <c:v>6.4264884574576904</c:v>
                </c:pt>
                <c:pt idx="69">
                  <c:v>6.3885614055456301</c:v>
                </c:pt>
                <c:pt idx="70">
                  <c:v>6.8145428972599582</c:v>
                </c:pt>
                <c:pt idx="71">
                  <c:v>6.6821085974498091</c:v>
                </c:pt>
                <c:pt idx="72">
                  <c:v>6.9411900550683745</c:v>
                </c:pt>
                <c:pt idx="73">
                  <c:v>7.0909098220799835</c:v>
                </c:pt>
                <c:pt idx="74">
                  <c:v>7.1024993557746487</c:v>
                </c:pt>
                <c:pt idx="75">
                  <c:v>7.5475016828149668</c:v>
                </c:pt>
                <c:pt idx="76">
                  <c:v>7.2392149737798057</c:v>
                </c:pt>
                <c:pt idx="77">
                  <c:v>7.3401868353201154</c:v>
                </c:pt>
                <c:pt idx="78">
                  <c:v>7.091742115095153</c:v>
                </c:pt>
                <c:pt idx="79">
                  <c:v>7.0175061429412562</c:v>
                </c:pt>
                <c:pt idx="80">
                  <c:v>7.0094089327086371</c:v>
                </c:pt>
                <c:pt idx="81">
                  <c:v>7.0967213784947605</c:v>
                </c:pt>
                <c:pt idx="82">
                  <c:v>7.3112183844196288</c:v>
                </c:pt>
                <c:pt idx="83">
                  <c:v>7.4944302150315654</c:v>
                </c:pt>
                <c:pt idx="84">
                  <c:v>7.5098830611549134</c:v>
                </c:pt>
                <c:pt idx="85">
                  <c:v>7.5908521236885811</c:v>
                </c:pt>
                <c:pt idx="86">
                  <c:v>7.506591780070841</c:v>
                </c:pt>
                <c:pt idx="87">
                  <c:v>7.5883236773352225</c:v>
                </c:pt>
                <c:pt idx="88">
                  <c:v>7.4955419438842563</c:v>
                </c:pt>
                <c:pt idx="89">
                  <c:v>7.9294865233142895</c:v>
                </c:pt>
                <c:pt idx="90">
                  <c:v>7.8450244172414836</c:v>
                </c:pt>
                <c:pt idx="91">
                  <c:v>7.8107581165293567</c:v>
                </c:pt>
                <c:pt idx="92">
                  <c:v>8.2324401584703359</c:v>
                </c:pt>
                <c:pt idx="93">
                  <c:v>7.9094894926737593</c:v>
                </c:pt>
                <c:pt idx="94">
                  <c:v>8.1276998528177717</c:v>
                </c:pt>
                <c:pt idx="95">
                  <c:v>7.8913307576618887</c:v>
                </c:pt>
                <c:pt idx="96">
                  <c:v>7.9459095986131327</c:v>
                </c:pt>
                <c:pt idx="97">
                  <c:v>7.8628820346414905</c:v>
                </c:pt>
                <c:pt idx="98">
                  <c:v>8.0690293287749579</c:v>
                </c:pt>
                <c:pt idx="99">
                  <c:v>8.1214803747507514</c:v>
                </c:pt>
                <c:pt idx="100">
                  <c:v>8.4178147474359584</c:v>
                </c:pt>
                <c:pt idx="101">
                  <c:v>8.2125683982341453</c:v>
                </c:pt>
                <c:pt idx="102">
                  <c:v>8.2432825230483751</c:v>
                </c:pt>
                <c:pt idx="103">
                  <c:v>8.5265492863402628</c:v>
                </c:pt>
                <c:pt idx="104">
                  <c:v>8.1324126745009053</c:v>
                </c:pt>
                <c:pt idx="105">
                  <c:v>8.3806859467615737</c:v>
                </c:pt>
                <c:pt idx="106">
                  <c:v>8.6360423252546177</c:v>
                </c:pt>
                <c:pt idx="107">
                  <c:v>8.1406070428584503</c:v>
                </c:pt>
                <c:pt idx="108">
                  <c:v>8.3589006124216443</c:v>
                </c:pt>
                <c:pt idx="109">
                  <c:v>8.4916702341851522</c:v>
                </c:pt>
                <c:pt idx="110">
                  <c:v>8.7251824949587693</c:v>
                </c:pt>
                <c:pt idx="111">
                  <c:v>8.4067084582409652</c:v>
                </c:pt>
                <c:pt idx="112">
                  <c:v>9.157993891603974</c:v>
                </c:pt>
                <c:pt idx="113">
                  <c:v>8.6583454711721206</c:v>
                </c:pt>
                <c:pt idx="114">
                  <c:v>8.6028202773836746</c:v>
                </c:pt>
                <c:pt idx="115">
                  <c:v>8.8937099775685091</c:v>
                </c:pt>
                <c:pt idx="116">
                  <c:v>9.0580047106724848</c:v>
                </c:pt>
                <c:pt idx="117">
                  <c:v>9.218804450388312</c:v>
                </c:pt>
                <c:pt idx="118">
                  <c:v>9.2849839149719493</c:v>
                </c:pt>
                <c:pt idx="119">
                  <c:v>8.8921990920396929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CF-4087-A711-E5399C6F2A65}"/>
            </c:ext>
          </c:extLst>
        </c:ser>
        <c:ser>
          <c:idx val="1"/>
          <c:order val="1"/>
          <c:tx>
            <c:strRef>
              <c:f>'exponential regression'!$E$1</c:f>
              <c:strCache>
                <c:ptCount val="1"/>
                <c:pt idx="0">
                  <c:v>Linear Estimate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'exponential regression'!$E$2:$E$121</c:f>
              <c:numCache>
                <c:formatCode>General</c:formatCode>
                <c:ptCount val="120"/>
                <c:pt idx="0">
                  <c:v>3.3559850809170619</c:v>
                </c:pt>
                <c:pt idx="1">
                  <c:v>3.4045020737032874</c:v>
                </c:pt>
                <c:pt idx="2">
                  <c:v>3.4530190664895133</c:v>
                </c:pt>
                <c:pt idx="3">
                  <c:v>3.5015360592757392</c:v>
                </c:pt>
                <c:pt idx="4">
                  <c:v>3.5500530520619646</c:v>
                </c:pt>
                <c:pt idx="5">
                  <c:v>3.5985700448481905</c:v>
                </c:pt>
                <c:pt idx="6">
                  <c:v>3.6470870376344164</c:v>
                </c:pt>
                <c:pt idx="7">
                  <c:v>3.6956040304206419</c:v>
                </c:pt>
                <c:pt idx="8">
                  <c:v>3.7441210232068678</c:v>
                </c:pt>
                <c:pt idx="9">
                  <c:v>3.7926380159930932</c:v>
                </c:pt>
                <c:pt idx="10">
                  <c:v>3.8411550087793191</c:v>
                </c:pt>
                <c:pt idx="11">
                  <c:v>3.889672001565545</c:v>
                </c:pt>
                <c:pt idx="12">
                  <c:v>3.9381889943517709</c:v>
                </c:pt>
                <c:pt idx="13">
                  <c:v>3.9867059871379964</c:v>
                </c:pt>
                <c:pt idx="14">
                  <c:v>4.0352229799242219</c:v>
                </c:pt>
                <c:pt idx="15">
                  <c:v>4.0837399727104478</c:v>
                </c:pt>
                <c:pt idx="16">
                  <c:v>4.1322569654966737</c:v>
                </c:pt>
                <c:pt idx="17">
                  <c:v>4.1807739582828995</c:v>
                </c:pt>
                <c:pt idx="18">
                  <c:v>4.2292909510691254</c:v>
                </c:pt>
                <c:pt idx="19">
                  <c:v>4.2778079438553505</c:v>
                </c:pt>
                <c:pt idx="20">
                  <c:v>4.3263249366415764</c:v>
                </c:pt>
                <c:pt idx="21">
                  <c:v>4.3748419294278023</c:v>
                </c:pt>
                <c:pt idx="22">
                  <c:v>4.4233589222140282</c:v>
                </c:pt>
                <c:pt idx="23">
                  <c:v>4.4718759150002541</c:v>
                </c:pt>
                <c:pt idx="24">
                  <c:v>4.52039290778648</c:v>
                </c:pt>
                <c:pt idx="25">
                  <c:v>4.5689099005727059</c:v>
                </c:pt>
                <c:pt idx="26">
                  <c:v>4.6174268933589309</c:v>
                </c:pt>
                <c:pt idx="27">
                  <c:v>4.6659438861451568</c:v>
                </c:pt>
                <c:pt idx="28">
                  <c:v>4.7144608789313827</c:v>
                </c:pt>
                <c:pt idx="29">
                  <c:v>4.7629778717176086</c:v>
                </c:pt>
                <c:pt idx="30">
                  <c:v>4.8114948645038345</c:v>
                </c:pt>
                <c:pt idx="31">
                  <c:v>4.8600118572900595</c:v>
                </c:pt>
                <c:pt idx="32">
                  <c:v>4.9085288500762854</c:v>
                </c:pt>
                <c:pt idx="33">
                  <c:v>4.9570458428625113</c:v>
                </c:pt>
                <c:pt idx="34">
                  <c:v>5.0055628356487372</c:v>
                </c:pt>
                <c:pt idx="35">
                  <c:v>5.0540798284349631</c:v>
                </c:pt>
                <c:pt idx="36">
                  <c:v>5.102596821221189</c:v>
                </c:pt>
                <c:pt idx="37">
                  <c:v>5.1511138140074149</c:v>
                </c:pt>
                <c:pt idx="38">
                  <c:v>5.1996308067936399</c:v>
                </c:pt>
                <c:pt idx="39">
                  <c:v>5.2481477995798658</c:v>
                </c:pt>
                <c:pt idx="40">
                  <c:v>5.2966647923660917</c:v>
                </c:pt>
                <c:pt idx="41">
                  <c:v>5.3451817851523176</c:v>
                </c:pt>
                <c:pt idx="42">
                  <c:v>5.3936987779385426</c:v>
                </c:pt>
                <c:pt idx="43">
                  <c:v>5.4422157707247685</c:v>
                </c:pt>
                <c:pt idx="44">
                  <c:v>5.4907327635109944</c:v>
                </c:pt>
                <c:pt idx="45">
                  <c:v>5.5392497562972203</c:v>
                </c:pt>
                <c:pt idx="46">
                  <c:v>5.5877667490834462</c:v>
                </c:pt>
                <c:pt idx="47">
                  <c:v>5.6362837418696721</c:v>
                </c:pt>
                <c:pt idx="48">
                  <c:v>5.684800734655898</c:v>
                </c:pt>
                <c:pt idx="49">
                  <c:v>5.7333177274421239</c:v>
                </c:pt>
                <c:pt idx="50">
                  <c:v>5.7818347202283489</c:v>
                </c:pt>
                <c:pt idx="51">
                  <c:v>5.8303517130145748</c:v>
                </c:pt>
                <c:pt idx="52">
                  <c:v>5.8788687058008007</c:v>
                </c:pt>
                <c:pt idx="53">
                  <c:v>5.9273856985870257</c:v>
                </c:pt>
                <c:pt idx="54">
                  <c:v>5.9759026913732516</c:v>
                </c:pt>
                <c:pt idx="55">
                  <c:v>6.0244196841594775</c:v>
                </c:pt>
                <c:pt idx="56">
                  <c:v>6.0729366769457034</c:v>
                </c:pt>
                <c:pt idx="57">
                  <c:v>6.1214536697319293</c:v>
                </c:pt>
                <c:pt idx="58">
                  <c:v>6.1699706625181552</c:v>
                </c:pt>
                <c:pt idx="59">
                  <c:v>6.2184876553043811</c:v>
                </c:pt>
                <c:pt idx="60">
                  <c:v>6.267004648090607</c:v>
                </c:pt>
                <c:pt idx="61">
                  <c:v>6.3155216408768329</c:v>
                </c:pt>
                <c:pt idx="62">
                  <c:v>6.3640386336630579</c:v>
                </c:pt>
                <c:pt idx="63">
                  <c:v>6.4125556264492838</c:v>
                </c:pt>
                <c:pt idx="64">
                  <c:v>6.4610726192355097</c:v>
                </c:pt>
                <c:pt idx="65">
                  <c:v>6.5095896120217347</c:v>
                </c:pt>
                <c:pt idx="66">
                  <c:v>6.5581066048079606</c:v>
                </c:pt>
                <c:pt idx="67">
                  <c:v>6.6066235975941865</c:v>
                </c:pt>
                <c:pt idx="68">
                  <c:v>6.6551405903804124</c:v>
                </c:pt>
                <c:pt idx="69">
                  <c:v>6.7036575831666383</c:v>
                </c:pt>
                <c:pt idx="70">
                  <c:v>6.7521745759528642</c:v>
                </c:pt>
                <c:pt idx="71">
                  <c:v>6.8006915687390901</c:v>
                </c:pt>
                <c:pt idx="72">
                  <c:v>6.849208561525316</c:v>
                </c:pt>
                <c:pt idx="73">
                  <c:v>6.8977255543115419</c:v>
                </c:pt>
                <c:pt idx="74">
                  <c:v>6.9462425470977669</c:v>
                </c:pt>
                <c:pt idx="75">
                  <c:v>6.9947595398839928</c:v>
                </c:pt>
                <c:pt idx="76">
                  <c:v>7.0432765326702187</c:v>
                </c:pt>
                <c:pt idx="77">
                  <c:v>7.0917935254564437</c:v>
                </c:pt>
                <c:pt idx="78">
                  <c:v>7.1403105182426696</c:v>
                </c:pt>
                <c:pt idx="79">
                  <c:v>7.1888275110288955</c:v>
                </c:pt>
                <c:pt idx="80">
                  <c:v>7.2373445038151214</c:v>
                </c:pt>
                <c:pt idx="81">
                  <c:v>7.2858614966013473</c:v>
                </c:pt>
                <c:pt idx="82">
                  <c:v>7.3343784893875732</c:v>
                </c:pt>
                <c:pt idx="83">
                  <c:v>7.3828954821737991</c:v>
                </c:pt>
                <c:pt idx="84">
                  <c:v>7.4314124749600241</c:v>
                </c:pt>
                <c:pt idx="85">
                  <c:v>7.47992946774625</c:v>
                </c:pt>
                <c:pt idx="86">
                  <c:v>7.5284464605324759</c:v>
                </c:pt>
                <c:pt idx="87">
                  <c:v>7.5769634533187018</c:v>
                </c:pt>
                <c:pt idx="88">
                  <c:v>7.6254804461049277</c:v>
                </c:pt>
                <c:pt idx="89">
                  <c:v>7.6739974388911536</c:v>
                </c:pt>
                <c:pt idx="90">
                  <c:v>7.7225144316773786</c:v>
                </c:pt>
                <c:pt idx="91">
                  <c:v>7.7710314244636045</c:v>
                </c:pt>
                <c:pt idx="92">
                  <c:v>7.8195484172498304</c:v>
                </c:pt>
                <c:pt idx="93">
                  <c:v>7.8680654100360563</c:v>
                </c:pt>
                <c:pt idx="94">
                  <c:v>7.9165824028222822</c:v>
                </c:pt>
                <c:pt idx="95">
                  <c:v>7.9650993956085081</c:v>
                </c:pt>
                <c:pt idx="96">
                  <c:v>8.013616388394734</c:v>
                </c:pt>
                <c:pt idx="97">
                  <c:v>8.0621333811809599</c:v>
                </c:pt>
                <c:pt idx="98">
                  <c:v>8.1106503739671858</c:v>
                </c:pt>
                <c:pt idx="99">
                  <c:v>8.1591673667534117</c:v>
                </c:pt>
                <c:pt idx="100">
                  <c:v>8.2076843595396376</c:v>
                </c:pt>
                <c:pt idx="101">
                  <c:v>8.2562013523258617</c:v>
                </c:pt>
                <c:pt idx="102">
                  <c:v>8.3047183451120876</c:v>
                </c:pt>
                <c:pt idx="103">
                  <c:v>8.3532353378983135</c:v>
                </c:pt>
                <c:pt idx="104">
                  <c:v>8.4017523306845394</c:v>
                </c:pt>
                <c:pt idx="105">
                  <c:v>8.4502693234707653</c:v>
                </c:pt>
                <c:pt idx="106">
                  <c:v>8.4987863162569912</c:v>
                </c:pt>
                <c:pt idx="107">
                  <c:v>8.5473033090432153</c:v>
                </c:pt>
                <c:pt idx="108">
                  <c:v>8.5958203018294412</c:v>
                </c:pt>
                <c:pt idx="109">
                  <c:v>8.6443372946156671</c:v>
                </c:pt>
                <c:pt idx="110">
                  <c:v>8.692854287401893</c:v>
                </c:pt>
                <c:pt idx="111">
                  <c:v>8.7413712801881189</c:v>
                </c:pt>
                <c:pt idx="112">
                  <c:v>8.7898882729743448</c:v>
                </c:pt>
                <c:pt idx="113">
                  <c:v>8.8384052657605707</c:v>
                </c:pt>
                <c:pt idx="114">
                  <c:v>8.8869222585467966</c:v>
                </c:pt>
                <c:pt idx="115">
                  <c:v>8.9354392513330225</c:v>
                </c:pt>
                <c:pt idx="116">
                  <c:v>8.9839562441192484</c:v>
                </c:pt>
                <c:pt idx="117">
                  <c:v>9.0324732369054743</c:v>
                </c:pt>
                <c:pt idx="118">
                  <c:v>9.0809902296917002</c:v>
                </c:pt>
                <c:pt idx="119">
                  <c:v>9.1295072224779261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CF-4087-A711-E5399C6F2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818448"/>
        <c:axId val="529820744"/>
      </c:lineChart>
      <c:catAx>
        <c:axId val="52981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20744"/>
        <c:crosses val="autoZero"/>
        <c:auto val="1"/>
        <c:lblAlgn val="ctr"/>
        <c:lblOffset val="100"/>
        <c:noMultiLvlLbl val="0"/>
      </c:catAx>
      <c:valAx>
        <c:axId val="52982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1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'exponential regression'!$B$1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'exponential regression'!$B$2:$B$121</c:f>
              <c:numCache>
                <c:formatCode>General</c:formatCode>
                <c:ptCount val="120"/>
                <c:pt idx="0">
                  <c:v>32</c:v>
                </c:pt>
                <c:pt idx="1">
                  <c:v>38</c:v>
                </c:pt>
                <c:pt idx="2">
                  <c:v>30</c:v>
                </c:pt>
                <c:pt idx="3">
                  <c:v>30</c:v>
                </c:pt>
                <c:pt idx="4">
                  <c:v>42</c:v>
                </c:pt>
                <c:pt idx="5">
                  <c:v>39</c:v>
                </c:pt>
                <c:pt idx="6">
                  <c:v>43</c:v>
                </c:pt>
                <c:pt idx="7">
                  <c:v>51</c:v>
                </c:pt>
                <c:pt idx="8">
                  <c:v>37</c:v>
                </c:pt>
                <c:pt idx="9">
                  <c:v>32</c:v>
                </c:pt>
                <c:pt idx="10">
                  <c:v>36</c:v>
                </c:pt>
                <c:pt idx="11">
                  <c:v>45</c:v>
                </c:pt>
                <c:pt idx="12">
                  <c:v>58</c:v>
                </c:pt>
                <c:pt idx="13">
                  <c:v>50</c:v>
                </c:pt>
                <c:pt idx="14">
                  <c:v>40</c:v>
                </c:pt>
                <c:pt idx="15">
                  <c:v>55</c:v>
                </c:pt>
                <c:pt idx="16">
                  <c:v>45</c:v>
                </c:pt>
                <c:pt idx="17">
                  <c:v>59</c:v>
                </c:pt>
                <c:pt idx="18">
                  <c:v>71</c:v>
                </c:pt>
                <c:pt idx="19">
                  <c:v>61</c:v>
                </c:pt>
                <c:pt idx="20">
                  <c:v>58</c:v>
                </c:pt>
                <c:pt idx="21">
                  <c:v>80</c:v>
                </c:pt>
                <c:pt idx="22">
                  <c:v>89</c:v>
                </c:pt>
                <c:pt idx="23">
                  <c:v>78</c:v>
                </c:pt>
                <c:pt idx="24">
                  <c:v>96</c:v>
                </c:pt>
                <c:pt idx="25">
                  <c:v>106</c:v>
                </c:pt>
                <c:pt idx="26">
                  <c:v>97</c:v>
                </c:pt>
                <c:pt idx="27">
                  <c:v>114</c:v>
                </c:pt>
                <c:pt idx="28">
                  <c:v>108</c:v>
                </c:pt>
                <c:pt idx="29">
                  <c:v>107</c:v>
                </c:pt>
                <c:pt idx="30">
                  <c:v>120</c:v>
                </c:pt>
                <c:pt idx="31">
                  <c:v>101</c:v>
                </c:pt>
                <c:pt idx="32">
                  <c:v>145</c:v>
                </c:pt>
                <c:pt idx="33">
                  <c:v>149</c:v>
                </c:pt>
                <c:pt idx="34">
                  <c:v>187</c:v>
                </c:pt>
                <c:pt idx="35">
                  <c:v>190</c:v>
                </c:pt>
                <c:pt idx="36">
                  <c:v>212</c:v>
                </c:pt>
                <c:pt idx="37">
                  <c:v>212</c:v>
                </c:pt>
                <c:pt idx="38">
                  <c:v>196</c:v>
                </c:pt>
                <c:pt idx="39">
                  <c:v>157</c:v>
                </c:pt>
                <c:pt idx="40">
                  <c:v>198</c:v>
                </c:pt>
                <c:pt idx="41">
                  <c:v>189</c:v>
                </c:pt>
                <c:pt idx="42">
                  <c:v>326</c:v>
                </c:pt>
                <c:pt idx="43">
                  <c:v>252</c:v>
                </c:pt>
                <c:pt idx="44">
                  <c:v>291</c:v>
                </c:pt>
                <c:pt idx="45">
                  <c:v>231</c:v>
                </c:pt>
                <c:pt idx="46">
                  <c:v>248</c:v>
                </c:pt>
                <c:pt idx="47">
                  <c:v>379</c:v>
                </c:pt>
                <c:pt idx="48">
                  <c:v>394</c:v>
                </c:pt>
                <c:pt idx="49">
                  <c:v>204</c:v>
                </c:pt>
                <c:pt idx="50">
                  <c:v>287</c:v>
                </c:pt>
                <c:pt idx="51">
                  <c:v>534</c:v>
                </c:pt>
                <c:pt idx="52">
                  <c:v>370</c:v>
                </c:pt>
                <c:pt idx="53">
                  <c:v>380</c:v>
                </c:pt>
                <c:pt idx="54">
                  <c:v>297</c:v>
                </c:pt>
                <c:pt idx="55">
                  <c:v>407</c:v>
                </c:pt>
                <c:pt idx="56">
                  <c:v>455</c:v>
                </c:pt>
                <c:pt idx="57">
                  <c:v>508</c:v>
                </c:pt>
                <c:pt idx="58">
                  <c:v>498</c:v>
                </c:pt>
                <c:pt idx="59">
                  <c:v>362</c:v>
                </c:pt>
                <c:pt idx="60">
                  <c:v>530</c:v>
                </c:pt>
                <c:pt idx="61">
                  <c:v>682</c:v>
                </c:pt>
                <c:pt idx="62">
                  <c:v>601</c:v>
                </c:pt>
                <c:pt idx="63">
                  <c:v>545</c:v>
                </c:pt>
                <c:pt idx="64">
                  <c:v>558</c:v>
                </c:pt>
                <c:pt idx="65">
                  <c:v>766</c:v>
                </c:pt>
                <c:pt idx="66">
                  <c:v>570</c:v>
                </c:pt>
                <c:pt idx="67">
                  <c:v>821</c:v>
                </c:pt>
                <c:pt idx="68">
                  <c:v>618</c:v>
                </c:pt>
                <c:pt idx="69">
                  <c:v>595</c:v>
                </c:pt>
                <c:pt idx="70">
                  <c:v>911</c:v>
                </c:pt>
                <c:pt idx="71">
                  <c:v>798</c:v>
                </c:pt>
                <c:pt idx="72">
                  <c:v>1034</c:v>
                </c:pt>
                <c:pt idx="73">
                  <c:v>1201</c:v>
                </c:pt>
                <c:pt idx="74">
                  <c:v>1215</c:v>
                </c:pt>
                <c:pt idx="75">
                  <c:v>1896</c:v>
                </c:pt>
                <c:pt idx="76">
                  <c:v>1393</c:v>
                </c:pt>
                <c:pt idx="77">
                  <c:v>1541</c:v>
                </c:pt>
                <c:pt idx="78">
                  <c:v>1202</c:v>
                </c:pt>
                <c:pt idx="79">
                  <c:v>1116</c:v>
                </c:pt>
                <c:pt idx="80">
                  <c:v>1107</c:v>
                </c:pt>
                <c:pt idx="81">
                  <c:v>1208</c:v>
                </c:pt>
                <c:pt idx="82">
                  <c:v>1497</c:v>
                </c:pt>
                <c:pt idx="83">
                  <c:v>1798</c:v>
                </c:pt>
                <c:pt idx="84">
                  <c:v>1826</c:v>
                </c:pt>
                <c:pt idx="85">
                  <c:v>1980</c:v>
                </c:pt>
                <c:pt idx="86">
                  <c:v>1820</c:v>
                </c:pt>
                <c:pt idx="87">
                  <c:v>1975</c:v>
                </c:pt>
                <c:pt idx="88">
                  <c:v>1800</c:v>
                </c:pt>
                <c:pt idx="89">
                  <c:v>2778</c:v>
                </c:pt>
                <c:pt idx="90">
                  <c:v>2553</c:v>
                </c:pt>
                <c:pt idx="91">
                  <c:v>2467</c:v>
                </c:pt>
                <c:pt idx="92">
                  <c:v>3761</c:v>
                </c:pt>
                <c:pt idx="93">
                  <c:v>2723</c:v>
                </c:pt>
                <c:pt idx="94">
                  <c:v>3387</c:v>
                </c:pt>
                <c:pt idx="95">
                  <c:v>2674</c:v>
                </c:pt>
                <c:pt idx="96">
                  <c:v>2824</c:v>
                </c:pt>
                <c:pt idx="97">
                  <c:v>2599</c:v>
                </c:pt>
                <c:pt idx="98">
                  <c:v>3194</c:v>
                </c:pt>
                <c:pt idx="99">
                  <c:v>3366</c:v>
                </c:pt>
                <c:pt idx="100">
                  <c:v>4527</c:v>
                </c:pt>
                <c:pt idx="101">
                  <c:v>3687</c:v>
                </c:pt>
                <c:pt idx="102">
                  <c:v>3802</c:v>
                </c:pt>
                <c:pt idx="103">
                  <c:v>5047</c:v>
                </c:pt>
                <c:pt idx="104">
                  <c:v>3403</c:v>
                </c:pt>
                <c:pt idx="105">
                  <c:v>4362</c:v>
                </c:pt>
                <c:pt idx="106">
                  <c:v>5631</c:v>
                </c:pt>
                <c:pt idx="107">
                  <c:v>3431</c:v>
                </c:pt>
                <c:pt idx="108">
                  <c:v>4268</c:v>
                </c:pt>
                <c:pt idx="109">
                  <c:v>4874</c:v>
                </c:pt>
                <c:pt idx="110">
                  <c:v>6156</c:v>
                </c:pt>
                <c:pt idx="111">
                  <c:v>4477</c:v>
                </c:pt>
                <c:pt idx="112">
                  <c:v>9490</c:v>
                </c:pt>
                <c:pt idx="113">
                  <c:v>5758</c:v>
                </c:pt>
                <c:pt idx="114">
                  <c:v>5447</c:v>
                </c:pt>
                <c:pt idx="115">
                  <c:v>7286</c:v>
                </c:pt>
                <c:pt idx="116">
                  <c:v>8587</c:v>
                </c:pt>
                <c:pt idx="117">
                  <c:v>10085</c:v>
                </c:pt>
                <c:pt idx="118">
                  <c:v>10775</c:v>
                </c:pt>
                <c:pt idx="119">
                  <c:v>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7-4A17-893D-4F3002AA5B94}"/>
            </c:ext>
          </c:extLst>
        </c:ser>
        <c:ser>
          <c:idx val="1"/>
          <c:order val="1"/>
          <c:tx>
            <c:strRef>
              <c:f>'exponential regression'!$C$1</c:f>
              <c:strCache>
                <c:ptCount val="1"/>
                <c:pt idx="0">
                  <c:v>Exponential Estimate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'exponential regression'!$C$2:$C$121</c:f>
              <c:numCache>
                <c:formatCode>General</c:formatCode>
                <c:ptCount val="120"/>
                <c:pt idx="0">
                  <c:v>28.67383633194137</c:v>
                </c:pt>
                <c:pt idx="1">
                  <c:v>30.099304756677984</c:v>
                </c:pt>
                <c:pt idx="2">
                  <c:v>31.595637791451363</c:v>
                </c:pt>
                <c:pt idx="3">
                  <c:v>33.166358343446625</c:v>
                </c:pt>
                <c:pt idx="4">
                  <c:v>34.815164454870846</c:v>
                </c:pt>
                <c:pt idx="5">
                  <c:v>36.545938009477055</c:v>
                </c:pt>
                <c:pt idx="6">
                  <c:v>38.362753871917469</c:v>
                </c:pt>
                <c:pt idx="7">
                  <c:v>40.269889481443286</c:v>
                </c:pt>
                <c:pt idx="8">
                  <c:v>42.271834922538154</c:v>
                </c:pt>
                <c:pt idx="9">
                  <c:v>44.373303496195071</c:v>
                </c:pt>
                <c:pt idx="10">
                  <c:v>46.579242816725412</c:v>
                </c:pt>
                <c:pt idx="11">
                  <c:v>48.894846460225956</c:v>
                </c:pt>
                <c:pt idx="12">
                  <c:v>51.325566192128598</c:v>
                </c:pt>
                <c:pt idx="13">
                  <c:v>53.87712480262077</c:v>
                </c:pt>
                <c:pt idx="14">
                  <c:v>56.55552958015582</c:v>
                </c:pt>
                <c:pt idx="15">
                  <c:v>59.367086454774814</c:v>
                </c:pt>
                <c:pt idx="16">
                  <c:v>62.318414844538303</c:v>
                </c:pt>
                <c:pt idx="17">
                  <c:v>65.41646324002177</c:v>
                </c:pt>
                <c:pt idx="18">
                  <c:v>68.66852556356649</c:v>
                </c:pt>
                <c:pt idx="19">
                  <c:v>72.082258341801108</c:v>
                </c:pt>
                <c:pt idx="20">
                  <c:v>75.665698731864481</c:v>
                </c:pt>
                <c:pt idx="21">
                  <c:v>79.427283443769795</c:v>
                </c:pt>
                <c:pt idx="22">
                  <c:v>83.375868603460333</c:v>
                </c:pt>
                <c:pt idx="23">
                  <c:v>87.520750603321247</c:v>
                </c:pt>
                <c:pt idx="24">
                  <c:v>91.871687989237316</c:v>
                </c:pt>
                <c:pt idx="25">
                  <c:v>96.438924435726605</c:v>
                </c:pt>
                <c:pt idx="26">
                  <c:v>101.2332128632417</c:v>
                </c:pt>
                <c:pt idx="27">
                  <c:v>106.26584075441937</c:v>
                </c:pt>
                <c:pt idx="28">
                  <c:v>111.54865672888224</c:v>
                </c:pt>
                <c:pt idx="29">
                  <c:v>117.09409843915928</c:v>
                </c:pt>
                <c:pt idx="30">
                  <c:v>122.91522185340183</c:v>
                </c:pt>
                <c:pt idx="31">
                  <c:v>129.02573199383747</c:v>
                </c:pt>
                <c:pt idx="32">
                  <c:v>135.44001520333123</c:v>
                </c:pt>
                <c:pt idx="33">
                  <c:v>142.17317301602091</c:v>
                </c:pt>
                <c:pt idx="34">
                  <c:v>149.24105771177037</c:v>
                </c:pt>
                <c:pt idx="35">
                  <c:v>156.66030963814904</c:v>
                </c:pt>
                <c:pt idx="36">
                  <c:v>164.44839638780664</c:v>
                </c:pt>
                <c:pt idx="37">
                  <c:v>172.6236539234807</c:v>
                </c:pt>
                <c:pt idx="38">
                  <c:v>181.20532974746075</c:v>
                </c:pt>
                <c:pt idx="39">
                  <c:v>190.21362821714453</c:v>
                </c:pt>
                <c:pt idx="40">
                  <c:v>199.66975811337639</c:v>
                </c:pt>
                <c:pt idx="41">
                  <c:v>209.59598257355995</c:v>
                </c:pt>
                <c:pt idx="42">
                  <c:v>220.01567150710645</c:v>
                </c:pt>
                <c:pt idx="43">
                  <c:v>230.95335661662349</c:v>
                </c:pt>
                <c:pt idx="44">
                  <c:v>242.43478915438266</c:v>
                </c:pt>
                <c:pt idx="45">
                  <c:v>254.48700055004741</c:v>
                </c:pt>
                <c:pt idx="46">
                  <c:v>267.13836605239982</c:v>
                </c:pt>
                <c:pt idx="47">
                  <c:v>280.41867153490119</c:v>
                </c:pt>
                <c:pt idx="48">
                  <c:v>294.35918362237192</c:v>
                </c:pt>
                <c:pt idx="49">
                  <c:v>308.99272330389425</c:v>
                </c:pt>
                <c:pt idx="50">
                  <c:v>324.35374320524676</c:v>
                </c:pt>
                <c:pt idx="51">
                  <c:v>340.4784087028022</c:v>
                </c:pt>
                <c:pt idx="52">
                  <c:v>357.40468306985525</c:v>
                </c:pt>
                <c:pt idx="53">
                  <c:v>375.17241685584844</c:v>
                </c:pt>
                <c:pt idx="54">
                  <c:v>393.82344170892668</c:v>
                </c:pt>
                <c:pt idx="55">
                  <c:v>413.40166886271078</c:v>
                </c:pt>
                <c:pt idx="56">
                  <c:v>433.95319251916578</c:v>
                </c:pt>
                <c:pt idx="57">
                  <c:v>455.52639837096325</c:v>
                </c:pt>
                <c:pt idx="58">
                  <c:v>478.1720775188374</c:v>
                </c:pt>
                <c:pt idx="59">
                  <c:v>501.94354605213977</c:v>
                </c:pt>
                <c:pt idx="60">
                  <c:v>526.89677057412734</c:v>
                </c:pt>
                <c:pt idx="61">
                  <c:v>553.09049996751332</c:v>
                </c:pt>
                <c:pt idx="62">
                  <c:v>580.5864037105091</c:v>
                </c:pt>
                <c:pt idx="63">
                  <c:v>609.44921706899925</c:v>
                </c:pt>
                <c:pt idx="64">
                  <c:v>639.74689350668473</c:v>
                </c:pt>
                <c:pt idx="65">
                  <c:v>671.5507646720248</c:v>
                </c:pt>
                <c:pt idx="66">
                  <c:v>704.93570833864328</c:v>
                </c:pt>
                <c:pt idx="67">
                  <c:v>739.98032469458951</c:v>
                </c:pt>
                <c:pt idx="68">
                  <c:v>776.7671213955058</c:v>
                </c:pt>
                <c:pt idx="69">
                  <c:v>815.38270781738322</c:v>
                </c:pt>
                <c:pt idx="70">
                  <c:v>855.91799896624048</c:v>
                </c:pt>
                <c:pt idx="71">
                  <c:v>898.46842952481188</c:v>
                </c:pt>
                <c:pt idx="72">
                  <c:v>943.13417854018269</c:v>
                </c:pt>
                <c:pt idx="73">
                  <c:v>990.02040528136456</c:v>
                </c:pt>
                <c:pt idx="74">
                  <c:v>1039.2374968221102</c:v>
                </c:pt>
                <c:pt idx="75">
                  <c:v>1090.9013279318674</c:v>
                </c:pt>
                <c:pt idx="76">
                  <c:v>1145.1335338867391</c:v>
                </c:pt>
                <c:pt idx="77">
                  <c:v>1202.0617968427575</c:v>
                </c:pt>
                <c:pt idx="78">
                  <c:v>1261.8201464456931</c:v>
                </c:pt>
                <c:pt idx="79">
                  <c:v>1324.549275385137</c:v>
                </c:pt>
                <c:pt idx="80">
                  <c:v>1390.3968706357946</c:v>
                </c:pt>
                <c:pt idx="81">
                  <c:v>1459.5179611658436</c:v>
                </c:pt>
                <c:pt idx="82">
                  <c:v>1532.075282930992</c:v>
                </c:pt>
                <c:pt idx="83">
                  <c:v>1608.2396620135621</c:v>
                </c:pt>
                <c:pt idx="84">
                  <c:v>1688.1904168086448</c:v>
                </c:pt>
                <c:pt idx="85">
                  <c:v>1772.1157802042285</c:v>
                </c:pt>
                <c:pt idx="86">
                  <c:v>1860.2133427492399</c:v>
                </c:pt>
                <c:pt idx="87">
                  <c:v>1952.6905178529057</c:v>
                </c:pt>
                <c:pt idx="88">
                  <c:v>2049.765030110661</c:v>
                </c:pt>
                <c:pt idx="89">
                  <c:v>2151.6654279063064</c:v>
                </c:pt>
                <c:pt idx="90">
                  <c:v>2258.6316214972608</c:v>
                </c:pt>
                <c:pt idx="91">
                  <c:v>2370.9154478497712</c:v>
                </c:pt>
                <c:pt idx="92">
                  <c:v>2488.7812635538712</c:v>
                </c:pt>
                <c:pt idx="93">
                  <c:v>2612.5065672140649</c:v>
                </c:pt>
                <c:pt idx="94">
                  <c:v>2742.3826527810415</c:v>
                </c:pt>
                <c:pt idx="95">
                  <c:v>2878.7152953626055</c:v>
                </c:pt>
                <c:pt idx="96">
                  <c:v>3021.8254711284667</c:v>
                </c:pt>
                <c:pt idx="97">
                  <c:v>3172.0501130038233</c:v>
                </c:pt>
                <c:pt idx="98">
                  <c:v>3329.7429039308695</c:v>
                </c:pt>
                <c:pt idx="99">
                  <c:v>3495.2751095659046</c:v>
                </c:pt>
                <c:pt idx="100">
                  <c:v>3669.0364523724775</c:v>
                </c:pt>
                <c:pt idx="101">
                  <c:v>3851.4360291684998</c:v>
                </c:pt>
                <c:pt idx="102">
                  <c:v>4042.9032742875966</c:v>
                </c:pt>
                <c:pt idx="103">
                  <c:v>4243.8889706222544</c:v>
                </c:pt>
                <c:pt idx="104">
                  <c:v>4454.8663109292129</c:v>
                </c:pt>
                <c:pt idx="105">
                  <c:v>4676.3320118957272</c:v>
                </c:pt>
                <c:pt idx="106">
                  <c:v>4908.8074835896505</c:v>
                </c:pt>
                <c:pt idx="107">
                  <c:v>5152.8400570466238</c:v>
                </c:pt>
                <c:pt idx="108">
                  <c:v>5409.004272884591</c:v>
                </c:pt>
                <c:pt idx="109">
                  <c:v>5677.9032339794285</c:v>
                </c:pt>
                <c:pt idx="110">
                  <c:v>5960.1700253864656</c:v>
                </c:pt>
                <c:pt idx="111">
                  <c:v>6256.4692048508414</c:v>
                </c:pt>
                <c:pt idx="112">
                  <c:v>6567.4983674159221</c:v>
                </c:pt>
                <c:pt idx="113">
                  <c:v>6893.9897878134052</c:v>
                </c:pt>
                <c:pt idx="114">
                  <c:v>7236.7121445019548</c:v>
                </c:pt>
                <c:pt idx="115">
                  <c:v>7596.4723294132536</c:v>
                </c:pt>
                <c:pt idx="116">
                  <c:v>7974.1173476664098</c:v>
                </c:pt>
                <c:pt idx="117">
                  <c:v>8370.53631172323</c:v>
                </c:pt>
                <c:pt idx="118">
                  <c:v>8786.6625346793517</c:v>
                </c:pt>
                <c:pt idx="119">
                  <c:v>9223.4757276195978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F7-4A17-893D-4F3002AA5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9181912"/>
        <c:axId val="679180272"/>
      </c:lineChart>
      <c:catAx>
        <c:axId val="67918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80272"/>
        <c:crosses val="autoZero"/>
        <c:auto val="1"/>
        <c:lblAlgn val="ctr"/>
        <c:lblOffset val="100"/>
        <c:noMultiLvlLbl val="0"/>
      </c:catAx>
      <c:valAx>
        <c:axId val="67918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8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167640</xdr:colOff>
      <xdr:row>0</xdr:row>
      <xdr:rowOff>114300</xdr:rowOff>
    </xdr:from>
    <xdr:to>
      <xdr:col>17</xdr:col>
      <xdr:colOff>83820</xdr:colOff>
      <xdr:row>18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A2CA4D-B44C-4C90-9369-059165A62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190500</xdr:colOff>
      <xdr:row>19</xdr:row>
      <xdr:rowOff>53340</xdr:rowOff>
    </xdr:from>
    <xdr:to>
      <xdr:col>21</xdr:col>
      <xdr:colOff>495300</xdr:colOff>
      <xdr:row>34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A9325A-E4C2-4701-B330-6043AB835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198120</xdr:colOff>
      <xdr:row>19</xdr:row>
      <xdr:rowOff>38100</xdr:rowOff>
    </xdr:from>
    <xdr:to>
      <xdr:col>14</xdr:col>
      <xdr:colOff>99060</xdr:colOff>
      <xdr:row>34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27B6AE7-87E0-4789-8345-3311F369B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1"/>
  <sheetViews>
    <sheetView tabSelected="1" workbookViewId="0">
      <selection activeCell="S5" sqref="S5"/>
    </sheetView>
  </sheetViews>
  <sheetFormatPr defaultRowHeight="14.4" x14ac:dyDescent="0.3"/>
  <cols>
    <col min="1" max="1" width="6.44140625" bestFit="1" customWidth="1"/>
    <col min="2" max="2" width="6" bestFit="1" customWidth="1"/>
    <col min="3" max="3" width="18.33203125" bestFit="1" customWidth="1"/>
    <col min="5" max="5" width="13.6640625" bestFit="1" customWidth="1"/>
    <col min="6" max="6" width="12" bestFit="1" customWidth="1"/>
  </cols>
  <sheetData>
    <row r="1" spans="1:8" x14ac:dyDescent="0.3">
      <c r="A1" s="1" t="s">
        <v>0</v>
      </c>
      <c r="B1" s="1" t="s">
        <v>1</v>
      </c>
      <c r="C1" s="1" t="s">
        <v>9</v>
      </c>
      <c r="D1" s="1" t="s">
        <v>2</v>
      </c>
      <c r="E1" s="2" t="s">
        <v>8</v>
      </c>
      <c r="F1" s="3" t="s">
        <v>6</v>
      </c>
      <c r="G1" t="s">
        <v>3</v>
      </c>
    </row>
    <row r="2" spans="1:8" x14ac:dyDescent="0.3">
      <c r="A2" s="1">
        <v>1</v>
      </c>
      <c r="B2" s="1">
        <v>32</v>
      </c>
      <c r="C2" s="1">
        <f>$H$6*EXP($H$4*A2)</f>
        <v>28.67383633194137</v>
      </c>
      <c r="D2" s="1">
        <f>LN(B2)</f>
        <v>3.4657359027997265</v>
      </c>
      <c r="E2" s="1">
        <f>$H$3+$H$4*A2</f>
        <v>3.3559850809170619</v>
      </c>
      <c r="F2" s="4">
        <f>SUMXMY2(D2:D121,E2:E121)</f>
        <v>4.3254641210659095</v>
      </c>
    </row>
    <row r="3" spans="1:8" x14ac:dyDescent="0.3">
      <c r="A3" s="1">
        <v>2</v>
      </c>
      <c r="B3" s="1">
        <v>38</v>
      </c>
      <c r="C3" s="1">
        <f t="shared" ref="C3:C66" si="0">$H$6*EXP($H$4*A3)</f>
        <v>30.099304756677984</v>
      </c>
      <c r="D3" s="1">
        <f t="shared" ref="D3:D66" si="1">LN(B3)</f>
        <v>3.6375861597263857</v>
      </c>
      <c r="E3" s="1">
        <f t="shared" ref="E3:E66" si="2">$H$3+$H$4*A3</f>
        <v>3.4045020737032874</v>
      </c>
      <c r="G3" t="s">
        <v>7</v>
      </c>
      <c r="H3">
        <v>3.307468088130836</v>
      </c>
    </row>
    <row r="4" spans="1:8" x14ac:dyDescent="0.3">
      <c r="A4" s="1">
        <v>3</v>
      </c>
      <c r="B4" s="1">
        <v>30</v>
      </c>
      <c r="C4" s="1">
        <f t="shared" si="0"/>
        <v>31.595637791451363</v>
      </c>
      <c r="D4" s="1">
        <f t="shared" si="1"/>
        <v>3.4011973816621555</v>
      </c>
      <c r="E4" s="1">
        <f t="shared" si="2"/>
        <v>3.4530190664895133</v>
      </c>
      <c r="G4" t="s">
        <v>4</v>
      </c>
      <c r="H4">
        <v>4.8516992786225746E-2</v>
      </c>
    </row>
    <row r="5" spans="1:8" x14ac:dyDescent="0.3">
      <c r="A5" s="1">
        <v>4</v>
      </c>
      <c r="B5" s="1">
        <v>30</v>
      </c>
      <c r="C5" s="1">
        <f t="shared" si="0"/>
        <v>33.166358343446625</v>
      </c>
      <c r="D5" s="1">
        <f t="shared" si="1"/>
        <v>3.4011973816621555</v>
      </c>
      <c r="E5" s="1">
        <f t="shared" si="2"/>
        <v>3.5015360592757392</v>
      </c>
    </row>
    <row r="6" spans="1:8" x14ac:dyDescent="0.3">
      <c r="A6" s="1">
        <v>5</v>
      </c>
      <c r="B6" s="1">
        <v>42</v>
      </c>
      <c r="C6" s="1">
        <f t="shared" si="0"/>
        <v>34.815164454870846</v>
      </c>
      <c r="D6" s="1">
        <f t="shared" si="1"/>
        <v>3.7376696182833684</v>
      </c>
      <c r="E6" s="1">
        <f t="shared" si="2"/>
        <v>3.5500530520619646</v>
      </c>
      <c r="G6" t="s">
        <v>5</v>
      </c>
      <c r="H6">
        <f>EXP(H3)</f>
        <v>27.31587645088533</v>
      </c>
    </row>
    <row r="7" spans="1:8" x14ac:dyDescent="0.3">
      <c r="A7" s="1">
        <v>6</v>
      </c>
      <c r="B7" s="1">
        <v>39</v>
      </c>
      <c r="C7" s="1">
        <f t="shared" si="0"/>
        <v>36.545938009477055</v>
      </c>
      <c r="D7" s="1">
        <f t="shared" si="1"/>
        <v>3.6635616461296463</v>
      </c>
      <c r="E7" s="1">
        <f t="shared" si="2"/>
        <v>3.5985700448481905</v>
      </c>
    </row>
    <row r="8" spans="1:8" x14ac:dyDescent="0.3">
      <c r="A8" s="1">
        <v>7</v>
      </c>
      <c r="B8" s="1">
        <v>43</v>
      </c>
      <c r="C8" s="1">
        <f t="shared" si="0"/>
        <v>38.362753871917469</v>
      </c>
      <c r="D8" s="1">
        <f t="shared" si="1"/>
        <v>3.7612001156935624</v>
      </c>
      <c r="E8" s="1">
        <f t="shared" si="2"/>
        <v>3.6470870376344164</v>
      </c>
    </row>
    <row r="9" spans="1:8" x14ac:dyDescent="0.3">
      <c r="A9" s="1">
        <v>8</v>
      </c>
      <c r="B9" s="1">
        <v>51</v>
      </c>
      <c r="C9" s="1">
        <f t="shared" si="0"/>
        <v>40.269889481443286</v>
      </c>
      <c r="D9" s="1">
        <f t="shared" si="1"/>
        <v>3.9318256327243257</v>
      </c>
      <c r="E9" s="1">
        <f t="shared" si="2"/>
        <v>3.6956040304206419</v>
      </c>
    </row>
    <row r="10" spans="1:8" x14ac:dyDescent="0.3">
      <c r="A10" s="1">
        <v>9</v>
      </c>
      <c r="B10" s="1">
        <v>37</v>
      </c>
      <c r="C10" s="1">
        <f t="shared" si="0"/>
        <v>42.271834922538154</v>
      </c>
      <c r="D10" s="1">
        <f t="shared" si="1"/>
        <v>3.6109179126442243</v>
      </c>
      <c r="E10" s="1">
        <f t="shared" si="2"/>
        <v>3.7441210232068678</v>
      </c>
    </row>
    <row r="11" spans="1:8" x14ac:dyDescent="0.3">
      <c r="A11" s="1">
        <v>10</v>
      </c>
      <c r="B11" s="1">
        <v>32</v>
      </c>
      <c r="C11" s="1">
        <f t="shared" si="0"/>
        <v>44.373303496195071</v>
      </c>
      <c r="D11" s="1">
        <f t="shared" si="1"/>
        <v>3.4657359027997265</v>
      </c>
      <c r="E11" s="1">
        <f t="shared" si="2"/>
        <v>3.7926380159930932</v>
      </c>
    </row>
    <row r="12" spans="1:8" x14ac:dyDescent="0.3">
      <c r="A12" s="1">
        <v>11</v>
      </c>
      <c r="B12" s="1">
        <v>36</v>
      </c>
      <c r="C12" s="1">
        <f t="shared" si="0"/>
        <v>46.579242816725412</v>
      </c>
      <c r="D12" s="1">
        <f t="shared" si="1"/>
        <v>3.5835189384561099</v>
      </c>
      <c r="E12" s="1">
        <f t="shared" si="2"/>
        <v>3.8411550087793191</v>
      </c>
    </row>
    <row r="13" spans="1:8" x14ac:dyDescent="0.3">
      <c r="A13" s="1">
        <v>12</v>
      </c>
      <c r="B13" s="1">
        <v>45</v>
      </c>
      <c r="C13" s="1">
        <f t="shared" si="0"/>
        <v>48.894846460225956</v>
      </c>
      <c r="D13" s="1">
        <f t="shared" si="1"/>
        <v>3.8066624897703196</v>
      </c>
      <c r="E13" s="1">
        <f t="shared" si="2"/>
        <v>3.889672001565545</v>
      </c>
    </row>
    <row r="14" spans="1:8" x14ac:dyDescent="0.3">
      <c r="A14" s="1">
        <v>13</v>
      </c>
      <c r="B14" s="1">
        <v>58</v>
      </c>
      <c r="C14" s="1">
        <f t="shared" si="0"/>
        <v>51.325566192128598</v>
      </c>
      <c r="D14" s="1">
        <f t="shared" si="1"/>
        <v>4.0604430105464191</v>
      </c>
      <c r="E14" s="1">
        <f t="shared" si="2"/>
        <v>3.9381889943517709</v>
      </c>
    </row>
    <row r="15" spans="1:8" x14ac:dyDescent="0.3">
      <c r="A15" s="1">
        <v>14</v>
      </c>
      <c r="B15" s="1">
        <v>50</v>
      </c>
      <c r="C15" s="1">
        <f t="shared" si="0"/>
        <v>53.87712480262077</v>
      </c>
      <c r="D15" s="1">
        <f t="shared" si="1"/>
        <v>3.912023005428146</v>
      </c>
      <c r="E15" s="1">
        <f t="shared" si="2"/>
        <v>3.9867059871379964</v>
      </c>
    </row>
    <row r="16" spans="1:8" x14ac:dyDescent="0.3">
      <c r="A16" s="1">
        <v>15</v>
      </c>
      <c r="B16" s="1">
        <v>40</v>
      </c>
      <c r="C16" s="1">
        <f t="shared" si="0"/>
        <v>56.55552958015582</v>
      </c>
      <c r="D16" s="1">
        <f t="shared" si="1"/>
        <v>3.6888794541139363</v>
      </c>
      <c r="E16" s="1">
        <f t="shared" si="2"/>
        <v>4.0352229799242219</v>
      </c>
    </row>
    <row r="17" spans="1:5" x14ac:dyDescent="0.3">
      <c r="A17" s="1">
        <v>16</v>
      </c>
      <c r="B17" s="1">
        <v>55</v>
      </c>
      <c r="C17" s="1">
        <f t="shared" si="0"/>
        <v>59.367086454774814</v>
      </c>
      <c r="D17" s="1">
        <f t="shared" si="1"/>
        <v>4.0073331852324712</v>
      </c>
      <c r="E17" s="1">
        <f t="shared" si="2"/>
        <v>4.0837399727104478</v>
      </c>
    </row>
    <row r="18" spans="1:5" x14ac:dyDescent="0.3">
      <c r="A18" s="1">
        <v>17</v>
      </c>
      <c r="B18" s="1">
        <v>45</v>
      </c>
      <c r="C18" s="1">
        <f t="shared" si="0"/>
        <v>62.318414844538303</v>
      </c>
      <c r="D18" s="1">
        <f t="shared" si="1"/>
        <v>3.8066624897703196</v>
      </c>
      <c r="E18" s="1">
        <f t="shared" si="2"/>
        <v>4.1322569654966737</v>
      </c>
    </row>
    <row r="19" spans="1:5" x14ac:dyDescent="0.3">
      <c r="A19" s="1">
        <v>18</v>
      </c>
      <c r="B19" s="1">
        <v>59</v>
      </c>
      <c r="C19" s="1">
        <f t="shared" si="0"/>
        <v>65.41646324002177</v>
      </c>
      <c r="D19" s="1">
        <f t="shared" si="1"/>
        <v>4.0775374439057197</v>
      </c>
      <c r="E19" s="1">
        <f t="shared" si="2"/>
        <v>4.1807739582828995</v>
      </c>
    </row>
    <row r="20" spans="1:5" x14ac:dyDescent="0.3">
      <c r="A20" s="1">
        <v>19</v>
      </c>
      <c r="B20" s="1">
        <v>71</v>
      </c>
      <c r="C20" s="1">
        <f t="shared" si="0"/>
        <v>68.66852556356649</v>
      </c>
      <c r="D20" s="1">
        <f t="shared" si="1"/>
        <v>4.2626798770413155</v>
      </c>
      <c r="E20" s="1">
        <f t="shared" si="2"/>
        <v>4.2292909510691254</v>
      </c>
    </row>
    <row r="21" spans="1:5" x14ac:dyDescent="0.3">
      <c r="A21" s="1">
        <v>20</v>
      </c>
      <c r="B21" s="1">
        <v>61</v>
      </c>
      <c r="C21" s="1">
        <f t="shared" si="0"/>
        <v>72.082258341801108</v>
      </c>
      <c r="D21" s="1">
        <f t="shared" si="1"/>
        <v>4.1108738641733114</v>
      </c>
      <c r="E21" s="1">
        <f t="shared" si="2"/>
        <v>4.2778079438553505</v>
      </c>
    </row>
    <row r="22" spans="1:5" x14ac:dyDescent="0.3">
      <c r="A22" s="1">
        <v>21</v>
      </c>
      <c r="B22" s="1">
        <v>58</v>
      </c>
      <c r="C22" s="1">
        <f t="shared" si="0"/>
        <v>75.665698731864481</v>
      </c>
      <c r="D22" s="1">
        <f t="shared" si="1"/>
        <v>4.0604430105464191</v>
      </c>
      <c r="E22" s="1">
        <f t="shared" si="2"/>
        <v>4.3263249366415764</v>
      </c>
    </row>
    <row r="23" spans="1:5" x14ac:dyDescent="0.3">
      <c r="A23" s="1">
        <v>22</v>
      </c>
      <c r="B23" s="1">
        <v>80</v>
      </c>
      <c r="C23" s="1">
        <f t="shared" si="0"/>
        <v>79.427283443769795</v>
      </c>
      <c r="D23" s="1">
        <f t="shared" si="1"/>
        <v>4.3820266346738812</v>
      </c>
      <c r="E23" s="1">
        <f t="shared" si="2"/>
        <v>4.3748419294278023</v>
      </c>
    </row>
    <row r="24" spans="1:5" x14ac:dyDescent="0.3">
      <c r="A24" s="1">
        <v>23</v>
      </c>
      <c r="B24" s="1">
        <v>89</v>
      </c>
      <c r="C24" s="1">
        <f t="shared" si="0"/>
        <v>83.375868603460333</v>
      </c>
      <c r="D24" s="1">
        <f t="shared" si="1"/>
        <v>4.4886363697321396</v>
      </c>
      <c r="E24" s="1">
        <f t="shared" si="2"/>
        <v>4.4233589222140282</v>
      </c>
    </row>
    <row r="25" spans="1:5" x14ac:dyDescent="0.3">
      <c r="A25" s="1">
        <v>24</v>
      </c>
      <c r="B25" s="1">
        <v>78</v>
      </c>
      <c r="C25" s="1">
        <f t="shared" si="0"/>
        <v>87.520750603321247</v>
      </c>
      <c r="D25" s="1">
        <f t="shared" si="1"/>
        <v>4.3567088266895917</v>
      </c>
      <c r="E25" s="1">
        <f t="shared" si="2"/>
        <v>4.4718759150002541</v>
      </c>
    </row>
    <row r="26" spans="1:5" x14ac:dyDescent="0.3">
      <c r="A26" s="1">
        <v>25</v>
      </c>
      <c r="B26" s="1">
        <v>96</v>
      </c>
      <c r="C26" s="1">
        <f t="shared" si="0"/>
        <v>91.871687989237316</v>
      </c>
      <c r="D26" s="1">
        <f t="shared" si="1"/>
        <v>4.5643481914678361</v>
      </c>
      <c r="E26" s="1">
        <f t="shared" si="2"/>
        <v>4.52039290778648</v>
      </c>
    </row>
    <row r="27" spans="1:5" x14ac:dyDescent="0.3">
      <c r="A27" s="1">
        <v>26</v>
      </c>
      <c r="B27" s="1">
        <v>106</v>
      </c>
      <c r="C27" s="1">
        <f t="shared" si="0"/>
        <v>96.438924435726605</v>
      </c>
      <c r="D27" s="1">
        <f t="shared" si="1"/>
        <v>4.6634390941120669</v>
      </c>
      <c r="E27" s="1">
        <f t="shared" si="2"/>
        <v>4.5689099005727059</v>
      </c>
    </row>
    <row r="28" spans="1:5" x14ac:dyDescent="0.3">
      <c r="A28" s="1">
        <v>27</v>
      </c>
      <c r="B28" s="1">
        <v>97</v>
      </c>
      <c r="C28" s="1">
        <f t="shared" si="0"/>
        <v>101.2332128632417</v>
      </c>
      <c r="D28" s="1">
        <f t="shared" si="1"/>
        <v>4.5747109785033828</v>
      </c>
      <c r="E28" s="1">
        <f t="shared" si="2"/>
        <v>4.6174268933589309</v>
      </c>
    </row>
    <row r="29" spans="1:5" x14ac:dyDescent="0.3">
      <c r="A29" s="1">
        <v>28</v>
      </c>
      <c r="B29" s="1">
        <v>114</v>
      </c>
      <c r="C29" s="1">
        <f t="shared" si="0"/>
        <v>106.26584075441937</v>
      </c>
      <c r="D29" s="1">
        <f t="shared" si="1"/>
        <v>4.7361984483944957</v>
      </c>
      <c r="E29" s="1">
        <f t="shared" si="2"/>
        <v>4.6659438861451568</v>
      </c>
    </row>
    <row r="30" spans="1:5" x14ac:dyDescent="0.3">
      <c r="A30" s="1">
        <v>29</v>
      </c>
      <c r="B30" s="1">
        <v>108</v>
      </c>
      <c r="C30" s="1">
        <f t="shared" si="0"/>
        <v>111.54865672888224</v>
      </c>
      <c r="D30" s="1">
        <f t="shared" si="1"/>
        <v>4.6821312271242199</v>
      </c>
      <c r="E30" s="1">
        <f t="shared" si="2"/>
        <v>4.7144608789313827</v>
      </c>
    </row>
    <row r="31" spans="1:5" x14ac:dyDescent="0.3">
      <c r="A31" s="1">
        <v>30</v>
      </c>
      <c r="B31" s="1">
        <v>107</v>
      </c>
      <c r="C31" s="1">
        <f t="shared" si="0"/>
        <v>117.09409843915928</v>
      </c>
      <c r="D31" s="1">
        <f t="shared" si="1"/>
        <v>4.6728288344619058</v>
      </c>
      <c r="E31" s="1">
        <f t="shared" si="2"/>
        <v>4.7629778717176086</v>
      </c>
    </row>
    <row r="32" spans="1:5" x14ac:dyDescent="0.3">
      <c r="A32" s="1">
        <v>31</v>
      </c>
      <c r="B32" s="1">
        <v>120</v>
      </c>
      <c r="C32" s="1">
        <f t="shared" si="0"/>
        <v>122.91522185340183</v>
      </c>
      <c r="D32" s="1">
        <f t="shared" si="1"/>
        <v>4.7874917427820458</v>
      </c>
      <c r="E32" s="1">
        <f t="shared" si="2"/>
        <v>4.8114948645038345</v>
      </c>
    </row>
    <row r="33" spans="1:5" x14ac:dyDescent="0.3">
      <c r="A33" s="1">
        <v>32</v>
      </c>
      <c r="B33" s="1">
        <v>101</v>
      </c>
      <c r="C33" s="1">
        <f t="shared" si="0"/>
        <v>129.02573199383747</v>
      </c>
      <c r="D33" s="1">
        <f t="shared" si="1"/>
        <v>4.6151205168412597</v>
      </c>
      <c r="E33" s="1">
        <f t="shared" si="2"/>
        <v>4.8600118572900595</v>
      </c>
    </row>
    <row r="34" spans="1:5" x14ac:dyDescent="0.3">
      <c r="A34" s="1">
        <v>33</v>
      </c>
      <c r="B34" s="1">
        <v>145</v>
      </c>
      <c r="C34" s="1">
        <f t="shared" si="0"/>
        <v>135.44001520333123</v>
      </c>
      <c r="D34" s="1">
        <f t="shared" si="1"/>
        <v>4.9767337424205742</v>
      </c>
      <c r="E34" s="1">
        <f t="shared" si="2"/>
        <v>4.9085288500762854</v>
      </c>
    </row>
    <row r="35" spans="1:5" x14ac:dyDescent="0.3">
      <c r="A35" s="1">
        <v>34</v>
      </c>
      <c r="B35" s="1">
        <v>149</v>
      </c>
      <c r="C35" s="1">
        <f t="shared" si="0"/>
        <v>142.17317301602091</v>
      </c>
      <c r="D35" s="1">
        <f t="shared" si="1"/>
        <v>5.0039463059454592</v>
      </c>
      <c r="E35" s="1">
        <f t="shared" si="2"/>
        <v>4.9570458428625113</v>
      </c>
    </row>
    <row r="36" spans="1:5" x14ac:dyDescent="0.3">
      <c r="A36" s="1">
        <v>35</v>
      </c>
      <c r="B36" s="1">
        <v>187</v>
      </c>
      <c r="C36" s="1">
        <f t="shared" si="0"/>
        <v>149.24105771177037</v>
      </c>
      <c r="D36" s="1">
        <f t="shared" si="1"/>
        <v>5.2311086168545868</v>
      </c>
      <c r="E36" s="1">
        <f t="shared" si="2"/>
        <v>5.0055628356487372</v>
      </c>
    </row>
    <row r="37" spans="1:5" x14ac:dyDescent="0.3">
      <c r="A37" s="1">
        <v>36</v>
      </c>
      <c r="B37" s="1">
        <v>190</v>
      </c>
      <c r="C37" s="1">
        <f t="shared" si="0"/>
        <v>156.66030963814904</v>
      </c>
      <c r="D37" s="1">
        <f t="shared" si="1"/>
        <v>5.2470240721604862</v>
      </c>
      <c r="E37" s="1">
        <f t="shared" si="2"/>
        <v>5.0540798284349631</v>
      </c>
    </row>
    <row r="38" spans="1:5" x14ac:dyDescent="0.3">
      <c r="A38" s="1">
        <v>37</v>
      </c>
      <c r="B38" s="1">
        <v>212</v>
      </c>
      <c r="C38" s="1">
        <f t="shared" si="0"/>
        <v>164.44839638780664</v>
      </c>
      <c r="D38" s="1">
        <f t="shared" si="1"/>
        <v>5.3565862746720123</v>
      </c>
      <c r="E38" s="1">
        <f t="shared" si="2"/>
        <v>5.102596821221189</v>
      </c>
    </row>
    <row r="39" spans="1:5" x14ac:dyDescent="0.3">
      <c r="A39" s="1">
        <v>38</v>
      </c>
      <c r="B39" s="1">
        <v>212</v>
      </c>
      <c r="C39" s="1">
        <f t="shared" si="0"/>
        <v>172.6236539234807</v>
      </c>
      <c r="D39" s="1">
        <f t="shared" si="1"/>
        <v>5.3565862746720123</v>
      </c>
      <c r="E39" s="1">
        <f t="shared" si="2"/>
        <v>5.1511138140074149</v>
      </c>
    </row>
    <row r="40" spans="1:5" x14ac:dyDescent="0.3">
      <c r="A40" s="1">
        <v>39</v>
      </c>
      <c r="B40" s="1">
        <v>196</v>
      </c>
      <c r="C40" s="1">
        <f t="shared" si="0"/>
        <v>181.20532974746075</v>
      </c>
      <c r="D40" s="1">
        <f t="shared" si="1"/>
        <v>5.2781146592305168</v>
      </c>
      <c r="E40" s="1">
        <f t="shared" si="2"/>
        <v>5.1996308067936399</v>
      </c>
    </row>
    <row r="41" spans="1:5" x14ac:dyDescent="0.3">
      <c r="A41" s="1">
        <v>40</v>
      </c>
      <c r="B41" s="1">
        <v>157</v>
      </c>
      <c r="C41" s="1">
        <f t="shared" si="0"/>
        <v>190.21362821714453</v>
      </c>
      <c r="D41" s="1">
        <f t="shared" si="1"/>
        <v>5.0562458053483077</v>
      </c>
      <c r="E41" s="1">
        <f t="shared" si="2"/>
        <v>5.2481477995798658</v>
      </c>
    </row>
    <row r="42" spans="1:5" x14ac:dyDescent="0.3">
      <c r="A42" s="1">
        <v>41</v>
      </c>
      <c r="B42" s="1">
        <v>198</v>
      </c>
      <c r="C42" s="1">
        <f t="shared" si="0"/>
        <v>199.66975811337639</v>
      </c>
      <c r="D42" s="1">
        <f t="shared" si="1"/>
        <v>5.2882670306945352</v>
      </c>
      <c r="E42" s="1">
        <f t="shared" si="2"/>
        <v>5.2966647923660917</v>
      </c>
    </row>
    <row r="43" spans="1:5" x14ac:dyDescent="0.3">
      <c r="A43" s="1">
        <v>42</v>
      </c>
      <c r="B43" s="1">
        <v>189</v>
      </c>
      <c r="C43" s="1">
        <f t="shared" si="0"/>
        <v>209.59598257355995</v>
      </c>
      <c r="D43" s="1">
        <f t="shared" si="1"/>
        <v>5.2417470150596426</v>
      </c>
      <c r="E43" s="1">
        <f t="shared" si="2"/>
        <v>5.3451817851523176</v>
      </c>
    </row>
    <row r="44" spans="1:5" x14ac:dyDescent="0.3">
      <c r="A44" s="1">
        <v>43</v>
      </c>
      <c r="B44" s="1">
        <v>326</v>
      </c>
      <c r="C44" s="1">
        <f t="shared" si="0"/>
        <v>220.01567150710645</v>
      </c>
      <c r="D44" s="1">
        <f t="shared" si="1"/>
        <v>5.7868973813667077</v>
      </c>
      <c r="E44" s="1">
        <f t="shared" si="2"/>
        <v>5.3936987779385426</v>
      </c>
    </row>
    <row r="45" spans="1:5" x14ac:dyDescent="0.3">
      <c r="A45" s="1">
        <v>44</v>
      </c>
      <c r="B45" s="1">
        <v>252</v>
      </c>
      <c r="C45" s="1">
        <f t="shared" si="0"/>
        <v>230.95335661662349</v>
      </c>
      <c r="D45" s="1">
        <f t="shared" si="1"/>
        <v>5.5294290875114234</v>
      </c>
      <c r="E45" s="1">
        <f t="shared" si="2"/>
        <v>5.4422157707247685</v>
      </c>
    </row>
    <row r="46" spans="1:5" x14ac:dyDescent="0.3">
      <c r="A46" s="1">
        <v>45</v>
      </c>
      <c r="B46" s="1">
        <v>291</v>
      </c>
      <c r="C46" s="1">
        <f t="shared" si="0"/>
        <v>242.43478915438266</v>
      </c>
      <c r="D46" s="1">
        <f t="shared" si="1"/>
        <v>5.6733232671714928</v>
      </c>
      <c r="E46" s="1">
        <f t="shared" si="2"/>
        <v>5.4907327635109944</v>
      </c>
    </row>
    <row r="47" spans="1:5" x14ac:dyDescent="0.3">
      <c r="A47" s="1">
        <v>46</v>
      </c>
      <c r="B47" s="1">
        <v>231</v>
      </c>
      <c r="C47" s="1">
        <f t="shared" si="0"/>
        <v>254.48700055004741</v>
      </c>
      <c r="D47" s="1">
        <f t="shared" si="1"/>
        <v>5.4424177105217932</v>
      </c>
      <c r="E47" s="1">
        <f t="shared" si="2"/>
        <v>5.5392497562972203</v>
      </c>
    </row>
    <row r="48" spans="1:5" x14ac:dyDescent="0.3">
      <c r="A48" s="1">
        <v>47</v>
      </c>
      <c r="B48" s="1">
        <v>248</v>
      </c>
      <c r="C48" s="1">
        <f t="shared" si="0"/>
        <v>267.13836605239982</v>
      </c>
      <c r="D48" s="1">
        <f t="shared" si="1"/>
        <v>5.5134287461649825</v>
      </c>
      <c r="E48" s="1">
        <f t="shared" si="2"/>
        <v>5.5877667490834462</v>
      </c>
    </row>
    <row r="49" spans="1:5" x14ac:dyDescent="0.3">
      <c r="A49" s="1">
        <v>48</v>
      </c>
      <c r="B49" s="1">
        <v>379</v>
      </c>
      <c r="C49" s="1">
        <f t="shared" si="0"/>
        <v>280.41867153490119</v>
      </c>
      <c r="D49" s="1">
        <f t="shared" si="1"/>
        <v>5.9375362050824263</v>
      </c>
      <c r="E49" s="1">
        <f t="shared" si="2"/>
        <v>5.6362837418696721</v>
      </c>
    </row>
    <row r="50" spans="1:5" x14ac:dyDescent="0.3">
      <c r="A50" s="1">
        <v>49</v>
      </c>
      <c r="B50" s="1">
        <v>394</v>
      </c>
      <c r="C50" s="1">
        <f t="shared" si="0"/>
        <v>294.35918362237192</v>
      </c>
      <c r="D50" s="1">
        <f t="shared" si="1"/>
        <v>5.9763509092979339</v>
      </c>
      <c r="E50" s="1">
        <f t="shared" si="2"/>
        <v>5.684800734655898</v>
      </c>
    </row>
    <row r="51" spans="1:5" x14ac:dyDescent="0.3">
      <c r="A51" s="1">
        <v>50</v>
      </c>
      <c r="B51" s="1">
        <v>204</v>
      </c>
      <c r="C51" s="1">
        <f t="shared" si="0"/>
        <v>308.99272330389425</v>
      </c>
      <c r="D51" s="1">
        <f t="shared" si="1"/>
        <v>5.3181199938442161</v>
      </c>
      <c r="E51" s="1">
        <f t="shared" si="2"/>
        <v>5.7333177274421239</v>
      </c>
    </row>
    <row r="52" spans="1:5" x14ac:dyDescent="0.3">
      <c r="A52" s="1">
        <v>51</v>
      </c>
      <c r="B52" s="1">
        <v>287</v>
      </c>
      <c r="C52" s="1">
        <f t="shared" si="0"/>
        <v>324.35374320524676</v>
      </c>
      <c r="D52" s="1">
        <f t="shared" si="1"/>
        <v>5.6594822157596214</v>
      </c>
      <c r="E52" s="1">
        <f t="shared" si="2"/>
        <v>5.7818347202283489</v>
      </c>
    </row>
    <row r="53" spans="1:5" x14ac:dyDescent="0.3">
      <c r="A53" s="1">
        <v>52</v>
      </c>
      <c r="B53" s="1">
        <v>534</v>
      </c>
      <c r="C53" s="1">
        <f t="shared" si="0"/>
        <v>340.4784087028022</v>
      </c>
      <c r="D53" s="1">
        <f t="shared" si="1"/>
        <v>6.280395838960195</v>
      </c>
      <c r="E53" s="1">
        <f t="shared" si="2"/>
        <v>5.8303517130145748</v>
      </c>
    </row>
    <row r="54" spans="1:5" x14ac:dyDescent="0.3">
      <c r="A54" s="1">
        <v>53</v>
      </c>
      <c r="B54" s="1">
        <v>370</v>
      </c>
      <c r="C54" s="1">
        <f t="shared" si="0"/>
        <v>357.40468306985525</v>
      </c>
      <c r="D54" s="1">
        <f t="shared" si="1"/>
        <v>5.9135030056382698</v>
      </c>
      <c r="E54" s="1">
        <f t="shared" si="2"/>
        <v>5.8788687058008007</v>
      </c>
    </row>
    <row r="55" spans="1:5" x14ac:dyDescent="0.3">
      <c r="A55" s="1">
        <v>54</v>
      </c>
      <c r="B55" s="1">
        <v>380</v>
      </c>
      <c r="C55" s="1">
        <f t="shared" si="0"/>
        <v>375.17241685584844</v>
      </c>
      <c r="D55" s="1">
        <f t="shared" si="1"/>
        <v>5.9401712527204316</v>
      </c>
      <c r="E55" s="1">
        <f t="shared" si="2"/>
        <v>5.9273856985870257</v>
      </c>
    </row>
    <row r="56" spans="1:5" x14ac:dyDescent="0.3">
      <c r="A56" s="1">
        <v>55</v>
      </c>
      <c r="B56" s="1">
        <v>297</v>
      </c>
      <c r="C56" s="1">
        <f t="shared" si="0"/>
        <v>393.82344170892668</v>
      </c>
      <c r="D56" s="1">
        <f t="shared" si="1"/>
        <v>5.6937321388026998</v>
      </c>
      <c r="E56" s="1">
        <f t="shared" si="2"/>
        <v>5.9759026913732516</v>
      </c>
    </row>
    <row r="57" spans="1:5" x14ac:dyDescent="0.3">
      <c r="A57" s="1">
        <v>56</v>
      </c>
      <c r="B57" s="1">
        <v>407</v>
      </c>
      <c r="C57" s="1">
        <f t="shared" si="0"/>
        <v>413.40166886271078</v>
      </c>
      <c r="D57" s="1">
        <f t="shared" si="1"/>
        <v>6.0088131854425946</v>
      </c>
      <c r="E57" s="1">
        <f t="shared" si="2"/>
        <v>6.0244196841594775</v>
      </c>
    </row>
    <row r="58" spans="1:5" x14ac:dyDescent="0.3">
      <c r="A58" s="1">
        <v>57</v>
      </c>
      <c r="B58" s="1">
        <v>455</v>
      </c>
      <c r="C58" s="1">
        <f t="shared" si="0"/>
        <v>433.95319251916578</v>
      </c>
      <c r="D58" s="1">
        <f t="shared" si="1"/>
        <v>6.1202974189509503</v>
      </c>
      <c r="E58" s="1">
        <f t="shared" si="2"/>
        <v>6.0729366769457034</v>
      </c>
    </row>
    <row r="59" spans="1:5" x14ac:dyDescent="0.3">
      <c r="A59" s="1">
        <v>58</v>
      </c>
      <c r="B59" s="1">
        <v>508</v>
      </c>
      <c r="C59" s="1">
        <f t="shared" si="0"/>
        <v>455.52639837096325</v>
      </c>
      <c r="D59" s="1">
        <f t="shared" si="1"/>
        <v>6.230481447578482</v>
      </c>
      <c r="E59" s="1">
        <f t="shared" si="2"/>
        <v>6.1214536697319293</v>
      </c>
    </row>
    <row r="60" spans="1:5" x14ac:dyDescent="0.3">
      <c r="A60" s="1">
        <v>59</v>
      </c>
      <c r="B60" s="1">
        <v>498</v>
      </c>
      <c r="C60" s="1">
        <f t="shared" si="0"/>
        <v>478.1720775188374</v>
      </c>
      <c r="D60" s="1">
        <f t="shared" si="1"/>
        <v>6.2106000770246528</v>
      </c>
      <c r="E60" s="1">
        <f t="shared" si="2"/>
        <v>6.1699706625181552</v>
      </c>
    </row>
    <row r="61" spans="1:5" x14ac:dyDescent="0.3">
      <c r="A61" s="1">
        <v>60</v>
      </c>
      <c r="B61" s="1">
        <v>362</v>
      </c>
      <c r="C61" s="1">
        <f t="shared" si="0"/>
        <v>501.94354605213977</v>
      </c>
      <c r="D61" s="1">
        <f t="shared" si="1"/>
        <v>5.8916442118257715</v>
      </c>
      <c r="E61" s="1">
        <f t="shared" si="2"/>
        <v>6.2184876553043811</v>
      </c>
    </row>
    <row r="62" spans="1:5" x14ac:dyDescent="0.3">
      <c r="A62" s="1">
        <v>61</v>
      </c>
      <c r="B62" s="1">
        <v>530</v>
      </c>
      <c r="C62" s="1">
        <f t="shared" si="0"/>
        <v>526.89677057412734</v>
      </c>
      <c r="D62" s="1">
        <f t="shared" si="1"/>
        <v>6.2728770065461674</v>
      </c>
      <c r="E62" s="1">
        <f t="shared" si="2"/>
        <v>6.267004648090607</v>
      </c>
    </row>
    <row r="63" spans="1:5" x14ac:dyDescent="0.3">
      <c r="A63" s="1">
        <v>62</v>
      </c>
      <c r="B63" s="1">
        <v>682</v>
      </c>
      <c r="C63" s="1">
        <f t="shared" si="0"/>
        <v>553.09049996751332</v>
      </c>
      <c r="D63" s="1">
        <f t="shared" si="1"/>
        <v>6.5250296578434623</v>
      </c>
      <c r="E63" s="1">
        <f t="shared" si="2"/>
        <v>6.3155216408768329</v>
      </c>
    </row>
    <row r="64" spans="1:5" x14ac:dyDescent="0.3">
      <c r="A64" s="1">
        <v>63</v>
      </c>
      <c r="B64" s="1">
        <v>601</v>
      </c>
      <c r="C64" s="1">
        <f t="shared" si="0"/>
        <v>580.5864037105091</v>
      </c>
      <c r="D64" s="1">
        <f t="shared" si="1"/>
        <v>6.3985949345352076</v>
      </c>
      <c r="E64" s="1">
        <f t="shared" si="2"/>
        <v>6.3640386336630579</v>
      </c>
    </row>
    <row r="65" spans="1:5" x14ac:dyDescent="0.3">
      <c r="A65" s="1">
        <v>64</v>
      </c>
      <c r="B65" s="1">
        <v>545</v>
      </c>
      <c r="C65" s="1">
        <f t="shared" si="0"/>
        <v>609.44921706899925</v>
      </c>
      <c r="D65" s="1">
        <f t="shared" si="1"/>
        <v>6.300785794663244</v>
      </c>
      <c r="E65" s="1">
        <f t="shared" si="2"/>
        <v>6.4125556264492838</v>
      </c>
    </row>
    <row r="66" spans="1:5" x14ac:dyDescent="0.3">
      <c r="A66" s="1">
        <v>65</v>
      </c>
      <c r="B66" s="1">
        <v>558</v>
      </c>
      <c r="C66" s="1">
        <f t="shared" si="0"/>
        <v>639.74689350668473</v>
      </c>
      <c r="D66" s="1">
        <f t="shared" si="1"/>
        <v>6.3243589623813108</v>
      </c>
      <c r="E66" s="1">
        <f t="shared" si="2"/>
        <v>6.4610726192355097</v>
      </c>
    </row>
    <row r="67" spans="1:5" x14ac:dyDescent="0.3">
      <c r="A67" s="1">
        <v>66</v>
      </c>
      <c r="B67" s="1">
        <v>766</v>
      </c>
      <c r="C67" s="1">
        <f t="shared" ref="C67:C121" si="3">$H$6*EXP($H$4*A67)</f>
        <v>671.5507646720248</v>
      </c>
      <c r="D67" s="1">
        <f t="shared" ref="D67:D121" si="4">LN(B67)</f>
        <v>6.6411821697405911</v>
      </c>
      <c r="E67" s="1">
        <f t="shared" ref="E67:E121" si="5">$H$3+$H$4*A67</f>
        <v>6.5095896120217347</v>
      </c>
    </row>
    <row r="68" spans="1:5" x14ac:dyDescent="0.3">
      <c r="A68" s="1">
        <v>67</v>
      </c>
      <c r="B68" s="1">
        <v>570</v>
      </c>
      <c r="C68" s="1">
        <f t="shared" si="3"/>
        <v>704.93570833864328</v>
      </c>
      <c r="D68" s="1">
        <f t="shared" si="4"/>
        <v>6.3456363608285962</v>
      </c>
      <c r="E68" s="1">
        <f t="shared" si="5"/>
        <v>6.5581066048079606</v>
      </c>
    </row>
    <row r="69" spans="1:5" x14ac:dyDescent="0.3">
      <c r="A69" s="1">
        <v>68</v>
      </c>
      <c r="B69" s="1">
        <v>821</v>
      </c>
      <c r="C69" s="1">
        <f t="shared" si="3"/>
        <v>739.98032469458951</v>
      </c>
      <c r="D69" s="1">
        <f t="shared" si="4"/>
        <v>6.7105231094524278</v>
      </c>
      <c r="E69" s="1">
        <f t="shared" si="5"/>
        <v>6.6066235975941865</v>
      </c>
    </row>
    <row r="70" spans="1:5" x14ac:dyDescent="0.3">
      <c r="A70" s="1">
        <v>69</v>
      </c>
      <c r="B70" s="1">
        <v>618</v>
      </c>
      <c r="C70" s="1">
        <f t="shared" si="3"/>
        <v>776.7671213955058</v>
      </c>
      <c r="D70" s="1">
        <f t="shared" si="4"/>
        <v>6.4264884574576904</v>
      </c>
      <c r="E70" s="1">
        <f t="shared" si="5"/>
        <v>6.6551405903804124</v>
      </c>
    </row>
    <row r="71" spans="1:5" x14ac:dyDescent="0.3">
      <c r="A71" s="1">
        <v>70</v>
      </c>
      <c r="B71" s="1">
        <v>595</v>
      </c>
      <c r="C71" s="1">
        <f t="shared" si="3"/>
        <v>815.38270781738322</v>
      </c>
      <c r="D71" s="1">
        <f t="shared" si="4"/>
        <v>6.3885614055456301</v>
      </c>
      <c r="E71" s="1">
        <f t="shared" si="5"/>
        <v>6.7036575831666383</v>
      </c>
    </row>
    <row r="72" spans="1:5" x14ac:dyDescent="0.3">
      <c r="A72" s="1">
        <v>71</v>
      </c>
      <c r="B72" s="1">
        <v>911</v>
      </c>
      <c r="C72" s="1">
        <f t="shared" si="3"/>
        <v>855.91799896624048</v>
      </c>
      <c r="D72" s="1">
        <f t="shared" si="4"/>
        <v>6.8145428972599582</v>
      </c>
      <c r="E72" s="1">
        <f t="shared" si="5"/>
        <v>6.7521745759528642</v>
      </c>
    </row>
    <row r="73" spans="1:5" x14ac:dyDescent="0.3">
      <c r="A73" s="1">
        <v>72</v>
      </c>
      <c r="B73" s="1">
        <v>798</v>
      </c>
      <c r="C73" s="1">
        <f t="shared" si="3"/>
        <v>898.46842952481188</v>
      </c>
      <c r="D73" s="1">
        <f t="shared" si="4"/>
        <v>6.6821085974498091</v>
      </c>
      <c r="E73" s="1">
        <f t="shared" si="5"/>
        <v>6.8006915687390901</v>
      </c>
    </row>
    <row r="74" spans="1:5" x14ac:dyDescent="0.3">
      <c r="A74" s="1">
        <v>73</v>
      </c>
      <c r="B74" s="1">
        <v>1034</v>
      </c>
      <c r="C74" s="1">
        <f t="shared" si="3"/>
        <v>943.13417854018269</v>
      </c>
      <c r="D74" s="1">
        <f t="shared" si="4"/>
        <v>6.9411900550683745</v>
      </c>
      <c r="E74" s="1">
        <f t="shared" si="5"/>
        <v>6.849208561525316</v>
      </c>
    </row>
    <row r="75" spans="1:5" x14ac:dyDescent="0.3">
      <c r="A75" s="1">
        <v>74</v>
      </c>
      <c r="B75" s="1">
        <v>1201</v>
      </c>
      <c r="C75" s="1">
        <f t="shared" si="3"/>
        <v>990.02040528136456</v>
      </c>
      <c r="D75" s="1">
        <f t="shared" si="4"/>
        <v>7.0909098220799835</v>
      </c>
      <c r="E75" s="1">
        <f t="shared" si="5"/>
        <v>6.8977255543115419</v>
      </c>
    </row>
    <row r="76" spans="1:5" x14ac:dyDescent="0.3">
      <c r="A76" s="1">
        <v>75</v>
      </c>
      <c r="B76" s="1">
        <v>1215</v>
      </c>
      <c r="C76" s="1">
        <f t="shared" si="3"/>
        <v>1039.2374968221102</v>
      </c>
      <c r="D76" s="1">
        <f t="shared" si="4"/>
        <v>7.1024993557746487</v>
      </c>
      <c r="E76" s="1">
        <f t="shared" si="5"/>
        <v>6.9462425470977669</v>
      </c>
    </row>
    <row r="77" spans="1:5" x14ac:dyDescent="0.3">
      <c r="A77" s="1">
        <v>76</v>
      </c>
      <c r="B77" s="1">
        <v>1896</v>
      </c>
      <c r="C77" s="1">
        <f t="shared" si="3"/>
        <v>1090.9013279318674</v>
      </c>
      <c r="D77" s="1">
        <f t="shared" si="4"/>
        <v>7.5475016828149668</v>
      </c>
      <c r="E77" s="1">
        <f t="shared" si="5"/>
        <v>6.9947595398839928</v>
      </c>
    </row>
    <row r="78" spans="1:5" x14ac:dyDescent="0.3">
      <c r="A78" s="1">
        <v>77</v>
      </c>
      <c r="B78" s="1">
        <v>1393</v>
      </c>
      <c r="C78" s="1">
        <f t="shared" si="3"/>
        <v>1145.1335338867391</v>
      </c>
      <c r="D78" s="1">
        <f t="shared" si="4"/>
        <v>7.2392149737798057</v>
      </c>
      <c r="E78" s="1">
        <f t="shared" si="5"/>
        <v>7.0432765326702187</v>
      </c>
    </row>
    <row r="79" spans="1:5" x14ac:dyDescent="0.3">
      <c r="A79" s="1">
        <v>78</v>
      </c>
      <c r="B79" s="1">
        <v>1541</v>
      </c>
      <c r="C79" s="1">
        <f t="shared" si="3"/>
        <v>1202.0617968427575</v>
      </c>
      <c r="D79" s="1">
        <f t="shared" si="4"/>
        <v>7.3401868353201154</v>
      </c>
      <c r="E79" s="1">
        <f t="shared" si="5"/>
        <v>7.0917935254564437</v>
      </c>
    </row>
    <row r="80" spans="1:5" x14ac:dyDescent="0.3">
      <c r="A80" s="1">
        <v>79</v>
      </c>
      <c r="B80" s="1">
        <v>1202</v>
      </c>
      <c r="C80" s="1">
        <f t="shared" si="3"/>
        <v>1261.8201464456931</v>
      </c>
      <c r="D80" s="1">
        <f t="shared" si="4"/>
        <v>7.091742115095153</v>
      </c>
      <c r="E80" s="1">
        <f t="shared" si="5"/>
        <v>7.1403105182426696</v>
      </c>
    </row>
    <row r="81" spans="1:5" x14ac:dyDescent="0.3">
      <c r="A81" s="1">
        <v>80</v>
      </c>
      <c r="B81" s="1">
        <v>1116</v>
      </c>
      <c r="C81" s="1">
        <f t="shared" si="3"/>
        <v>1324.549275385137</v>
      </c>
      <c r="D81" s="1">
        <f t="shared" si="4"/>
        <v>7.0175061429412562</v>
      </c>
      <c r="E81" s="1">
        <f t="shared" si="5"/>
        <v>7.1888275110288955</v>
      </c>
    </row>
    <row r="82" spans="1:5" x14ac:dyDescent="0.3">
      <c r="A82" s="1">
        <v>81</v>
      </c>
      <c r="B82" s="1">
        <v>1107</v>
      </c>
      <c r="C82" s="1">
        <f t="shared" si="3"/>
        <v>1390.3968706357946</v>
      </c>
      <c r="D82" s="1">
        <f t="shared" si="4"/>
        <v>7.0094089327086371</v>
      </c>
      <c r="E82" s="1">
        <f t="shared" si="5"/>
        <v>7.2373445038151214</v>
      </c>
    </row>
    <row r="83" spans="1:5" x14ac:dyDescent="0.3">
      <c r="A83" s="1">
        <v>82</v>
      </c>
      <c r="B83" s="1">
        <v>1208</v>
      </c>
      <c r="C83" s="1">
        <f t="shared" si="3"/>
        <v>1459.5179611658436</v>
      </c>
      <c r="D83" s="1">
        <f t="shared" si="4"/>
        <v>7.0967213784947605</v>
      </c>
      <c r="E83" s="1">
        <f t="shared" si="5"/>
        <v>7.2858614966013473</v>
      </c>
    </row>
    <row r="84" spans="1:5" x14ac:dyDescent="0.3">
      <c r="A84" s="1">
        <v>83</v>
      </c>
      <c r="B84" s="1">
        <v>1497</v>
      </c>
      <c r="C84" s="1">
        <f t="shared" si="3"/>
        <v>1532.075282930992</v>
      </c>
      <c r="D84" s="1">
        <f t="shared" si="4"/>
        <v>7.3112183844196288</v>
      </c>
      <c r="E84" s="1">
        <f t="shared" si="5"/>
        <v>7.3343784893875732</v>
      </c>
    </row>
    <row r="85" spans="1:5" x14ac:dyDescent="0.3">
      <c r="A85" s="1">
        <v>84</v>
      </c>
      <c r="B85" s="1">
        <v>1798</v>
      </c>
      <c r="C85" s="1">
        <f t="shared" si="3"/>
        <v>1608.2396620135621</v>
      </c>
      <c r="D85" s="1">
        <f t="shared" si="4"/>
        <v>7.4944302150315654</v>
      </c>
      <c r="E85" s="1">
        <f t="shared" si="5"/>
        <v>7.3828954821737991</v>
      </c>
    </row>
    <row r="86" spans="1:5" x14ac:dyDescent="0.3">
      <c r="A86" s="1">
        <v>85</v>
      </c>
      <c r="B86" s="1">
        <v>1826</v>
      </c>
      <c r="C86" s="1">
        <f t="shared" si="3"/>
        <v>1688.1904168086448</v>
      </c>
      <c r="D86" s="1">
        <f t="shared" si="4"/>
        <v>7.5098830611549134</v>
      </c>
      <c r="E86" s="1">
        <f t="shared" si="5"/>
        <v>7.4314124749600241</v>
      </c>
    </row>
    <row r="87" spans="1:5" x14ac:dyDescent="0.3">
      <c r="A87" s="1">
        <v>86</v>
      </c>
      <c r="B87" s="1">
        <v>1980</v>
      </c>
      <c r="C87" s="1">
        <f t="shared" si="3"/>
        <v>1772.1157802042285</v>
      </c>
      <c r="D87" s="1">
        <f t="shared" si="4"/>
        <v>7.5908521236885811</v>
      </c>
      <c r="E87" s="1">
        <f t="shared" si="5"/>
        <v>7.47992946774625</v>
      </c>
    </row>
    <row r="88" spans="1:5" x14ac:dyDescent="0.3">
      <c r="A88" s="1">
        <v>87</v>
      </c>
      <c r="B88" s="1">
        <v>1820</v>
      </c>
      <c r="C88" s="1">
        <f t="shared" si="3"/>
        <v>1860.2133427492399</v>
      </c>
      <c r="D88" s="1">
        <f t="shared" si="4"/>
        <v>7.506591780070841</v>
      </c>
      <c r="E88" s="1">
        <f t="shared" si="5"/>
        <v>7.5284464605324759</v>
      </c>
    </row>
    <row r="89" spans="1:5" x14ac:dyDescent="0.3">
      <c r="A89" s="1">
        <v>88</v>
      </c>
      <c r="B89" s="1">
        <v>1975</v>
      </c>
      <c r="C89" s="1">
        <f t="shared" si="3"/>
        <v>1952.6905178529057</v>
      </c>
      <c r="D89" s="1">
        <f t="shared" si="4"/>
        <v>7.5883236773352225</v>
      </c>
      <c r="E89" s="1">
        <f t="shared" si="5"/>
        <v>7.5769634533187018</v>
      </c>
    </row>
    <row r="90" spans="1:5" x14ac:dyDescent="0.3">
      <c r="A90" s="1">
        <v>89</v>
      </c>
      <c r="B90" s="1">
        <v>1800</v>
      </c>
      <c r="C90" s="1">
        <f t="shared" si="3"/>
        <v>2049.765030110661</v>
      </c>
      <c r="D90" s="1">
        <f t="shared" si="4"/>
        <v>7.4955419438842563</v>
      </c>
      <c r="E90" s="1">
        <f t="shared" si="5"/>
        <v>7.6254804461049277</v>
      </c>
    </row>
    <row r="91" spans="1:5" x14ac:dyDescent="0.3">
      <c r="A91" s="1">
        <v>90</v>
      </c>
      <c r="B91" s="1">
        <v>2778</v>
      </c>
      <c r="C91" s="1">
        <f t="shared" si="3"/>
        <v>2151.6654279063064</v>
      </c>
      <c r="D91" s="1">
        <f t="shared" si="4"/>
        <v>7.9294865233142895</v>
      </c>
      <c r="E91" s="1">
        <f t="shared" si="5"/>
        <v>7.6739974388911536</v>
      </c>
    </row>
    <row r="92" spans="1:5" x14ac:dyDescent="0.3">
      <c r="A92" s="1">
        <v>91</v>
      </c>
      <c r="B92" s="1">
        <v>2553</v>
      </c>
      <c r="C92" s="1">
        <f t="shared" si="3"/>
        <v>2258.6316214972608</v>
      </c>
      <c r="D92" s="1">
        <f t="shared" si="4"/>
        <v>7.8450244172414836</v>
      </c>
      <c r="E92" s="1">
        <f t="shared" si="5"/>
        <v>7.7225144316773786</v>
      </c>
    </row>
    <row r="93" spans="1:5" x14ac:dyDescent="0.3">
      <c r="A93" s="1">
        <v>92</v>
      </c>
      <c r="B93" s="1">
        <v>2467</v>
      </c>
      <c r="C93" s="1">
        <f t="shared" si="3"/>
        <v>2370.9154478497712</v>
      </c>
      <c r="D93" s="1">
        <f t="shared" si="4"/>
        <v>7.8107581165293567</v>
      </c>
      <c r="E93" s="1">
        <f t="shared" si="5"/>
        <v>7.7710314244636045</v>
      </c>
    </row>
    <row r="94" spans="1:5" x14ac:dyDescent="0.3">
      <c r="A94" s="1">
        <v>93</v>
      </c>
      <c r="B94" s="1">
        <v>3761</v>
      </c>
      <c r="C94" s="1">
        <f t="shared" si="3"/>
        <v>2488.7812635538712</v>
      </c>
      <c r="D94" s="1">
        <f t="shared" si="4"/>
        <v>8.2324401584703359</v>
      </c>
      <c r="E94" s="1">
        <f t="shared" si="5"/>
        <v>7.8195484172498304</v>
      </c>
    </row>
    <row r="95" spans="1:5" x14ac:dyDescent="0.3">
      <c r="A95" s="1">
        <v>94</v>
      </c>
      <c r="B95" s="1">
        <v>2723</v>
      </c>
      <c r="C95" s="1">
        <f t="shared" si="3"/>
        <v>2612.5065672140649</v>
      </c>
      <c r="D95" s="1">
        <f t="shared" si="4"/>
        <v>7.9094894926737593</v>
      </c>
      <c r="E95" s="1">
        <f t="shared" si="5"/>
        <v>7.8680654100360563</v>
      </c>
    </row>
    <row r="96" spans="1:5" x14ac:dyDescent="0.3">
      <c r="A96" s="1">
        <v>95</v>
      </c>
      <c r="B96" s="1">
        <v>3387</v>
      </c>
      <c r="C96" s="1">
        <f t="shared" si="3"/>
        <v>2742.3826527810415</v>
      </c>
      <c r="D96" s="1">
        <f t="shared" si="4"/>
        <v>8.1276998528177717</v>
      </c>
      <c r="E96" s="1">
        <f t="shared" si="5"/>
        <v>7.9165824028222822</v>
      </c>
    </row>
    <row r="97" spans="1:5" x14ac:dyDescent="0.3">
      <c r="A97" s="1">
        <v>96</v>
      </c>
      <c r="B97" s="1">
        <v>2674</v>
      </c>
      <c r="C97" s="1">
        <f t="shared" si="3"/>
        <v>2878.7152953626055</v>
      </c>
      <c r="D97" s="1">
        <f t="shared" si="4"/>
        <v>7.8913307576618887</v>
      </c>
      <c r="E97" s="1">
        <f t="shared" si="5"/>
        <v>7.9650993956085081</v>
      </c>
    </row>
    <row r="98" spans="1:5" x14ac:dyDescent="0.3">
      <c r="A98" s="1">
        <v>97</v>
      </c>
      <c r="B98" s="1">
        <v>2824</v>
      </c>
      <c r="C98" s="1">
        <f t="shared" si="3"/>
        <v>3021.8254711284667</v>
      </c>
      <c r="D98" s="1">
        <f t="shared" si="4"/>
        <v>7.9459095986131327</v>
      </c>
      <c r="E98" s="1">
        <f t="shared" si="5"/>
        <v>8.013616388394734</v>
      </c>
    </row>
    <row r="99" spans="1:5" x14ac:dyDescent="0.3">
      <c r="A99" s="1">
        <v>98</v>
      </c>
      <c r="B99" s="1">
        <v>2599</v>
      </c>
      <c r="C99" s="1">
        <f t="shared" si="3"/>
        <v>3172.0501130038233</v>
      </c>
      <c r="D99" s="1">
        <f t="shared" si="4"/>
        <v>7.8628820346414905</v>
      </c>
      <c r="E99" s="1">
        <f t="shared" si="5"/>
        <v>8.0621333811809599</v>
      </c>
    </row>
    <row r="100" spans="1:5" x14ac:dyDescent="0.3">
      <c r="A100" s="1">
        <v>99</v>
      </c>
      <c r="B100" s="1">
        <v>3194</v>
      </c>
      <c r="C100" s="1">
        <f t="shared" si="3"/>
        <v>3329.7429039308695</v>
      </c>
      <c r="D100" s="1">
        <f t="shared" si="4"/>
        <v>8.0690293287749579</v>
      </c>
      <c r="E100" s="1">
        <f t="shared" si="5"/>
        <v>8.1106503739671858</v>
      </c>
    </row>
    <row r="101" spans="1:5" x14ac:dyDescent="0.3">
      <c r="A101" s="1">
        <v>100</v>
      </c>
      <c r="B101" s="1">
        <v>3366</v>
      </c>
      <c r="C101" s="1">
        <f t="shared" si="3"/>
        <v>3495.2751095659046</v>
      </c>
      <c r="D101" s="1">
        <f t="shared" si="4"/>
        <v>8.1214803747507514</v>
      </c>
      <c r="E101" s="1">
        <f t="shared" si="5"/>
        <v>8.1591673667534117</v>
      </c>
    </row>
    <row r="102" spans="1:5" x14ac:dyDescent="0.3">
      <c r="A102" s="1">
        <v>101</v>
      </c>
      <c r="B102" s="1">
        <v>4527</v>
      </c>
      <c r="C102" s="1">
        <f t="shared" si="3"/>
        <v>3669.0364523724775</v>
      </c>
      <c r="D102" s="1">
        <f t="shared" si="4"/>
        <v>8.4178147474359584</v>
      </c>
      <c r="E102" s="1">
        <f t="shared" si="5"/>
        <v>8.2076843595396376</v>
      </c>
    </row>
    <row r="103" spans="1:5" x14ac:dyDescent="0.3">
      <c r="A103" s="1">
        <v>102</v>
      </c>
      <c r="B103" s="1">
        <v>3687</v>
      </c>
      <c r="C103" s="1">
        <f t="shared" si="3"/>
        <v>3851.4360291684998</v>
      </c>
      <c r="D103" s="1">
        <f t="shared" si="4"/>
        <v>8.2125683982341453</v>
      </c>
      <c r="E103" s="1">
        <f t="shared" si="5"/>
        <v>8.2562013523258617</v>
      </c>
    </row>
    <row r="104" spans="1:5" x14ac:dyDescent="0.3">
      <c r="A104" s="1">
        <v>103</v>
      </c>
      <c r="B104" s="1">
        <v>3802</v>
      </c>
      <c r="C104" s="1">
        <f t="shared" si="3"/>
        <v>4042.9032742875966</v>
      </c>
      <c r="D104" s="1">
        <f t="shared" si="4"/>
        <v>8.2432825230483751</v>
      </c>
      <c r="E104" s="1">
        <f t="shared" si="5"/>
        <v>8.3047183451120876</v>
      </c>
    </row>
    <row r="105" spans="1:5" x14ac:dyDescent="0.3">
      <c r="A105" s="1">
        <v>104</v>
      </c>
      <c r="B105" s="1">
        <v>5047</v>
      </c>
      <c r="C105" s="1">
        <f t="shared" si="3"/>
        <v>4243.8889706222544</v>
      </c>
      <c r="D105" s="1">
        <f t="shared" si="4"/>
        <v>8.5265492863402628</v>
      </c>
      <c r="E105" s="1">
        <f t="shared" si="5"/>
        <v>8.3532353378983135</v>
      </c>
    </row>
    <row r="106" spans="1:5" x14ac:dyDescent="0.3">
      <c r="A106" s="1">
        <v>105</v>
      </c>
      <c r="B106" s="1">
        <v>3403</v>
      </c>
      <c r="C106" s="1">
        <f t="shared" si="3"/>
        <v>4454.8663109292129</v>
      </c>
      <c r="D106" s="1">
        <f t="shared" si="4"/>
        <v>8.1324126745009053</v>
      </c>
      <c r="E106" s="1">
        <f t="shared" si="5"/>
        <v>8.4017523306845394</v>
      </c>
    </row>
    <row r="107" spans="1:5" x14ac:dyDescent="0.3">
      <c r="A107" s="1">
        <v>106</v>
      </c>
      <c r="B107" s="1">
        <v>4362</v>
      </c>
      <c r="C107" s="1">
        <f t="shared" si="3"/>
        <v>4676.3320118957272</v>
      </c>
      <c r="D107" s="1">
        <f t="shared" si="4"/>
        <v>8.3806859467615737</v>
      </c>
      <c r="E107" s="1">
        <f t="shared" si="5"/>
        <v>8.4502693234707653</v>
      </c>
    </row>
    <row r="108" spans="1:5" x14ac:dyDescent="0.3">
      <c r="A108" s="1">
        <v>107</v>
      </c>
      <c r="B108" s="1">
        <v>5631</v>
      </c>
      <c r="C108" s="1">
        <f t="shared" si="3"/>
        <v>4908.8074835896505</v>
      </c>
      <c r="D108" s="1">
        <f t="shared" si="4"/>
        <v>8.6360423252546177</v>
      </c>
      <c r="E108" s="1">
        <f t="shared" si="5"/>
        <v>8.4987863162569912</v>
      </c>
    </row>
    <row r="109" spans="1:5" x14ac:dyDescent="0.3">
      <c r="A109" s="1">
        <v>108</v>
      </c>
      <c r="B109" s="1">
        <v>3431</v>
      </c>
      <c r="C109" s="1">
        <f t="shared" si="3"/>
        <v>5152.8400570466238</v>
      </c>
      <c r="D109" s="1">
        <f t="shared" si="4"/>
        <v>8.1406070428584503</v>
      </c>
      <c r="E109" s="1">
        <f t="shared" si="5"/>
        <v>8.5473033090432153</v>
      </c>
    </row>
    <row r="110" spans="1:5" x14ac:dyDescent="0.3">
      <c r="A110" s="1">
        <v>109</v>
      </c>
      <c r="B110" s="1">
        <v>4268</v>
      </c>
      <c r="C110" s="1">
        <f t="shared" si="3"/>
        <v>5409.004272884591</v>
      </c>
      <c r="D110" s="1">
        <f t="shared" si="4"/>
        <v>8.3589006124216443</v>
      </c>
      <c r="E110" s="1">
        <f t="shared" si="5"/>
        <v>8.5958203018294412</v>
      </c>
    </row>
    <row r="111" spans="1:5" x14ac:dyDescent="0.3">
      <c r="A111" s="1">
        <v>110</v>
      </c>
      <c r="B111" s="1">
        <v>4874</v>
      </c>
      <c r="C111" s="1">
        <f t="shared" si="3"/>
        <v>5677.9032339794285</v>
      </c>
      <c r="D111" s="1">
        <f t="shared" si="4"/>
        <v>8.4916702341851522</v>
      </c>
      <c r="E111" s="1">
        <f t="shared" si="5"/>
        <v>8.6443372946156671</v>
      </c>
    </row>
    <row r="112" spans="1:5" x14ac:dyDescent="0.3">
      <c r="A112" s="1">
        <v>111</v>
      </c>
      <c r="B112" s="1">
        <v>6156</v>
      </c>
      <c r="C112" s="1">
        <f t="shared" si="3"/>
        <v>5960.1700253864656</v>
      </c>
      <c r="D112" s="1">
        <f t="shared" si="4"/>
        <v>8.7251824949587693</v>
      </c>
      <c r="E112" s="1">
        <f t="shared" si="5"/>
        <v>8.692854287401893</v>
      </c>
    </row>
    <row r="113" spans="1:5" x14ac:dyDescent="0.3">
      <c r="A113" s="1">
        <v>112</v>
      </c>
      <c r="B113" s="1">
        <v>4477</v>
      </c>
      <c r="C113" s="1">
        <f t="shared" si="3"/>
        <v>6256.4692048508414</v>
      </c>
      <c r="D113" s="1">
        <f t="shared" si="4"/>
        <v>8.4067084582409652</v>
      </c>
      <c r="E113" s="1">
        <f t="shared" si="5"/>
        <v>8.7413712801881189</v>
      </c>
    </row>
    <row r="114" spans="1:5" x14ac:dyDescent="0.3">
      <c r="A114" s="1">
        <v>113</v>
      </c>
      <c r="B114" s="1">
        <v>9490</v>
      </c>
      <c r="C114" s="1">
        <f t="shared" si="3"/>
        <v>6567.4983674159221</v>
      </c>
      <c r="D114" s="1">
        <f t="shared" si="4"/>
        <v>9.157993891603974</v>
      </c>
      <c r="E114" s="1">
        <f t="shared" si="5"/>
        <v>8.7898882729743448</v>
      </c>
    </row>
    <row r="115" spans="1:5" x14ac:dyDescent="0.3">
      <c r="A115" s="1">
        <v>114</v>
      </c>
      <c r="B115" s="1">
        <v>5758</v>
      </c>
      <c r="C115" s="1">
        <f t="shared" si="3"/>
        <v>6893.9897878134052</v>
      </c>
      <c r="D115" s="1">
        <f t="shared" si="4"/>
        <v>8.6583454711721206</v>
      </c>
      <c r="E115" s="1">
        <f t="shared" si="5"/>
        <v>8.8384052657605707</v>
      </c>
    </row>
    <row r="116" spans="1:5" x14ac:dyDescent="0.3">
      <c r="A116" s="1">
        <v>115</v>
      </c>
      <c r="B116" s="1">
        <v>5447</v>
      </c>
      <c r="C116" s="1">
        <f t="shared" si="3"/>
        <v>7236.7121445019548</v>
      </c>
      <c r="D116" s="1">
        <f t="shared" si="4"/>
        <v>8.6028202773836746</v>
      </c>
      <c r="E116" s="1">
        <f t="shared" si="5"/>
        <v>8.8869222585467966</v>
      </c>
    </row>
    <row r="117" spans="1:5" x14ac:dyDescent="0.3">
      <c r="A117" s="1">
        <v>116</v>
      </c>
      <c r="B117" s="1">
        <v>7286</v>
      </c>
      <c r="C117" s="1">
        <f t="shared" si="3"/>
        <v>7596.4723294132536</v>
      </c>
      <c r="D117" s="1">
        <f t="shared" si="4"/>
        <v>8.8937099775685091</v>
      </c>
      <c r="E117" s="1">
        <f t="shared" si="5"/>
        <v>8.9354392513330225</v>
      </c>
    </row>
    <row r="118" spans="1:5" x14ac:dyDescent="0.3">
      <c r="A118" s="1">
        <v>117</v>
      </c>
      <c r="B118" s="1">
        <v>8587</v>
      </c>
      <c r="C118" s="1">
        <f t="shared" si="3"/>
        <v>7974.1173476664098</v>
      </c>
      <c r="D118" s="1">
        <f t="shared" si="4"/>
        <v>9.0580047106724848</v>
      </c>
      <c r="E118" s="1">
        <f t="shared" si="5"/>
        <v>8.9839562441192484</v>
      </c>
    </row>
    <row r="119" spans="1:5" x14ac:dyDescent="0.3">
      <c r="A119" s="1">
        <v>118</v>
      </c>
      <c r="B119" s="1">
        <v>10085</v>
      </c>
      <c r="C119" s="1">
        <f t="shared" si="3"/>
        <v>8370.53631172323</v>
      </c>
      <c r="D119" s="1">
        <f t="shared" si="4"/>
        <v>9.218804450388312</v>
      </c>
      <c r="E119" s="1">
        <f t="shared" si="5"/>
        <v>9.0324732369054743</v>
      </c>
    </row>
    <row r="120" spans="1:5" x14ac:dyDescent="0.3">
      <c r="A120" s="1">
        <v>119</v>
      </c>
      <c r="B120" s="1">
        <v>10775</v>
      </c>
      <c r="C120" s="1">
        <f t="shared" si="3"/>
        <v>8786.6625346793517</v>
      </c>
      <c r="D120" s="1">
        <f t="shared" si="4"/>
        <v>9.2849839149719493</v>
      </c>
      <c r="E120" s="1">
        <f t="shared" si="5"/>
        <v>9.0809902296917002</v>
      </c>
    </row>
    <row r="121" spans="1:5" x14ac:dyDescent="0.3">
      <c r="A121" s="1">
        <v>120</v>
      </c>
      <c r="B121" s="1">
        <v>7275</v>
      </c>
      <c r="C121" s="1">
        <f t="shared" si="3"/>
        <v>9223.4757276195978</v>
      </c>
      <c r="D121" s="1">
        <f t="shared" si="4"/>
        <v>8.8921990920396929</v>
      </c>
      <c r="E121" s="1">
        <f t="shared" si="5"/>
        <v>9.1295072224779261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exponential regression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 shaik</dc:creator>
  <cp:lastModifiedBy>imran shaik</cp:lastModifiedBy>
  <dcterms:created xsi:type="dcterms:W3CDTF">2017-03-23T14:37:49Z</dcterms:created>
  <dcterms:modified xsi:type="dcterms:W3CDTF">2017-03-23T14:41:04Z</dcterms:modified>
</cp:coreProperties>
</file>